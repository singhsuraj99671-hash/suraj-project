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_singh1\Downloads\"/>
    </mc:Choice>
  </mc:AlternateContent>
  <xr:revisionPtr revIDLastSave="0" documentId="8_{B400284B-742F-014F-90F4-77A2B878A945}" xr6:coauthVersionLast="47" xr6:coauthVersionMax="47" xr10:uidLastSave="{00000000-0000-0000-0000-000000000000}"/>
  <bookViews>
    <workbookView xWindow="28680" yWindow="-120" windowWidth="29040" windowHeight="15720" activeTab="4" xr2:uid="{2D359F82-B5E9-4606-8435-5BB30A11BFA9}"/>
  </bookViews>
  <sheets>
    <sheet name="Revenue &amp; Cost" sheetId="2" r:id="rId1"/>
    <sheet name="IS" sheetId="1" r:id="rId2"/>
    <sheet name="BS" sheetId="3" r:id="rId3"/>
    <sheet name="CF" sheetId="4" r:id="rId4"/>
    <sheet name="DCF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3" l="1"/>
  <c r="I52" i="3"/>
  <c r="H52" i="3"/>
  <c r="D21" i="5"/>
  <c r="AJ32" i="1"/>
  <c r="D19" i="5"/>
  <c r="D18" i="5"/>
  <c r="D17" i="5"/>
  <c r="D56" i="3"/>
  <c r="E56" i="3"/>
  <c r="F56" i="3"/>
  <c r="G56" i="3"/>
  <c r="H56" i="3"/>
  <c r="I56" i="3"/>
  <c r="J56" i="3"/>
  <c r="C56" i="3"/>
  <c r="D16" i="5"/>
  <c r="K13" i="5"/>
  <c r="J12" i="5"/>
  <c r="K12" i="5"/>
  <c r="I12" i="5"/>
  <c r="K11" i="5"/>
  <c r="J11" i="5"/>
  <c r="I11" i="5"/>
  <c r="F30" i="5"/>
  <c r="F33" i="5"/>
  <c r="E9" i="5"/>
  <c r="F9" i="5"/>
  <c r="G9" i="5"/>
  <c r="H9" i="5"/>
  <c r="I9" i="5"/>
  <c r="J9" i="5"/>
  <c r="K9" i="5"/>
  <c r="D9" i="5"/>
  <c r="I27" i="4"/>
  <c r="J27" i="4"/>
  <c r="H27" i="4"/>
  <c r="H33" i="4"/>
  <c r="H49" i="4"/>
  <c r="H51" i="4"/>
  <c r="E8" i="5"/>
  <c r="F8" i="5"/>
  <c r="G8" i="5"/>
  <c r="H8" i="5"/>
  <c r="J8" i="5"/>
  <c r="K8" i="5"/>
  <c r="D8" i="5"/>
  <c r="E7" i="5"/>
  <c r="F7" i="5"/>
  <c r="G7" i="5"/>
  <c r="H7" i="5"/>
  <c r="I7" i="5"/>
  <c r="J7" i="5"/>
  <c r="K7" i="5"/>
  <c r="D7" i="5"/>
  <c r="E6" i="5"/>
  <c r="F6" i="5"/>
  <c r="G6" i="5"/>
  <c r="H6" i="5"/>
  <c r="I6" i="5"/>
  <c r="J6" i="5"/>
  <c r="K6" i="5"/>
  <c r="D6" i="5"/>
  <c r="E5" i="5"/>
  <c r="F5" i="5"/>
  <c r="G5" i="5"/>
  <c r="H5" i="5"/>
  <c r="I5" i="5"/>
  <c r="J5" i="5"/>
  <c r="K5" i="5"/>
  <c r="D5" i="5"/>
  <c r="AK23" i="1"/>
  <c r="AL23" i="1"/>
  <c r="AM23" i="1"/>
  <c r="AN23" i="1"/>
  <c r="AO23" i="1"/>
  <c r="AP23" i="1"/>
  <c r="AQ23" i="1"/>
  <c r="AJ23" i="1"/>
  <c r="E4" i="5"/>
  <c r="F4" i="5"/>
  <c r="G4" i="5"/>
  <c r="H4" i="5"/>
  <c r="I4" i="5"/>
  <c r="J4" i="5"/>
  <c r="K4" i="5"/>
  <c r="D4" i="5"/>
  <c r="H51" i="3"/>
  <c r="H50" i="4"/>
  <c r="E49" i="4"/>
  <c r="F49" i="4"/>
  <c r="G49" i="4"/>
  <c r="I49" i="4"/>
  <c r="D49" i="4"/>
  <c r="E50" i="4"/>
  <c r="F50" i="4"/>
  <c r="G50" i="4"/>
  <c r="D50" i="4"/>
  <c r="H44" i="4"/>
  <c r="I44" i="4"/>
  <c r="J44" i="4"/>
  <c r="I45" i="4"/>
  <c r="J45" i="4"/>
  <c r="H45" i="4"/>
  <c r="I43" i="4"/>
  <c r="J43" i="4"/>
  <c r="H43" i="4"/>
  <c r="I33" i="4"/>
  <c r="J33" i="4"/>
  <c r="J49" i="4"/>
  <c r="I22" i="4"/>
  <c r="J22" i="4"/>
  <c r="H22" i="4"/>
  <c r="I18" i="4"/>
  <c r="J18" i="4"/>
  <c r="H18" i="4"/>
  <c r="I23" i="4"/>
  <c r="J23" i="4"/>
  <c r="I24" i="4"/>
  <c r="J24" i="4"/>
  <c r="H24" i="4"/>
  <c r="H23" i="4"/>
  <c r="I21" i="4"/>
  <c r="J21" i="4"/>
  <c r="H21" i="4"/>
  <c r="I20" i="4"/>
  <c r="J20" i="4"/>
  <c r="H20" i="4"/>
  <c r="I19" i="4"/>
  <c r="J19" i="4"/>
  <c r="H19" i="4"/>
  <c r="I17" i="4"/>
  <c r="J17" i="4"/>
  <c r="H17" i="4"/>
  <c r="I16" i="4"/>
  <c r="J16" i="4"/>
  <c r="H16" i="4"/>
  <c r="D13" i="4"/>
  <c r="E13" i="4"/>
  <c r="F13" i="4"/>
  <c r="G13" i="4"/>
  <c r="I11" i="4"/>
  <c r="J11" i="4"/>
  <c r="H11" i="4"/>
  <c r="I6" i="4"/>
  <c r="J6" i="4"/>
  <c r="H6" i="4"/>
  <c r="I5" i="4"/>
  <c r="J5" i="4"/>
  <c r="H5" i="4"/>
  <c r="D47" i="4"/>
  <c r="C47" i="4"/>
  <c r="G46" i="4"/>
  <c r="G47" i="4"/>
  <c r="F46" i="4"/>
  <c r="F47" i="4"/>
  <c r="E46" i="4"/>
  <c r="E47" i="4"/>
  <c r="D32" i="4"/>
  <c r="G30" i="4"/>
  <c r="G32" i="4"/>
  <c r="F30" i="4"/>
  <c r="F32" i="4"/>
  <c r="E30" i="4"/>
  <c r="E32" i="4"/>
  <c r="D30" i="4"/>
  <c r="C30" i="4"/>
  <c r="G19" i="4"/>
  <c r="G15" i="4"/>
  <c r="G25" i="4"/>
  <c r="F15" i="4"/>
  <c r="F25" i="4"/>
  <c r="E15" i="4"/>
  <c r="E25" i="4"/>
  <c r="D15" i="4"/>
  <c r="D25" i="4"/>
  <c r="C15" i="4"/>
  <c r="C25" i="4"/>
  <c r="F12" i="4"/>
  <c r="E12" i="4"/>
  <c r="D12" i="4"/>
  <c r="C12" i="4"/>
  <c r="C11" i="4"/>
  <c r="C10" i="4"/>
  <c r="G9" i="4"/>
  <c r="F9" i="4"/>
  <c r="E9" i="4"/>
  <c r="D9" i="4"/>
  <c r="C9" i="4"/>
  <c r="E8" i="4"/>
  <c r="D8" i="4"/>
  <c r="C8" i="4"/>
  <c r="G7" i="4"/>
  <c r="F7" i="4"/>
  <c r="E7" i="4"/>
  <c r="D7" i="4"/>
  <c r="C7" i="4"/>
  <c r="AG16" i="1"/>
  <c r="AH16" i="1"/>
  <c r="AF16" i="1"/>
  <c r="AE16" i="1"/>
  <c r="AC16" i="1"/>
  <c r="AD16" i="1"/>
  <c r="AB16" i="1"/>
  <c r="AA16" i="1"/>
  <c r="Z16" i="1"/>
  <c r="AP16" i="1"/>
  <c r="AQ16" i="1"/>
  <c r="AO16" i="1"/>
  <c r="H65" i="3"/>
  <c r="D70" i="3"/>
  <c r="E70" i="3"/>
  <c r="F70" i="3"/>
  <c r="G70" i="3"/>
  <c r="C70" i="3"/>
  <c r="I50" i="4"/>
  <c r="I51" i="4"/>
  <c r="H4" i="3"/>
  <c r="I8" i="5"/>
  <c r="I47" i="4"/>
  <c r="J47" i="4"/>
  <c r="H47" i="4"/>
  <c r="J15" i="4"/>
  <c r="I15" i="4"/>
  <c r="H15" i="4"/>
  <c r="C13" i="4"/>
  <c r="J50" i="4"/>
  <c r="J51" i="4"/>
  <c r="J4" i="3"/>
  <c r="I4" i="3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C46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C43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C40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C37" i="2"/>
  <c r="Z19" i="1"/>
  <c r="AA19" i="1"/>
  <c r="AB19" i="1"/>
  <c r="AC19" i="1"/>
  <c r="AD19" i="1"/>
  <c r="AE19" i="1"/>
  <c r="AF19" i="1"/>
  <c r="AG19" i="1"/>
  <c r="AH19" i="1"/>
  <c r="Z20" i="1"/>
  <c r="AA20" i="1"/>
  <c r="AB20" i="1"/>
  <c r="AC20" i="1"/>
  <c r="AD20" i="1"/>
  <c r="AE20" i="1"/>
  <c r="AF20" i="1"/>
  <c r="AG20" i="1"/>
  <c r="AH20" i="1"/>
  <c r="Z18" i="1"/>
  <c r="AA18" i="1"/>
  <c r="AB18" i="1"/>
  <c r="AC18" i="1"/>
  <c r="AD18" i="1"/>
  <c r="AE18" i="1"/>
  <c r="AF18" i="1"/>
  <c r="AG18" i="1"/>
  <c r="AH18" i="1"/>
  <c r="AA9" i="1"/>
  <c r="AB9" i="1"/>
  <c r="AC9" i="1"/>
  <c r="AD9" i="1"/>
  <c r="AE9" i="1"/>
  <c r="AF9" i="1"/>
  <c r="AG9" i="1"/>
  <c r="AH9" i="1"/>
  <c r="Z9" i="1"/>
  <c r="AA33" i="2"/>
  <c r="AB33" i="2"/>
  <c r="AC33" i="2"/>
  <c r="AD33" i="2"/>
  <c r="AE33" i="2"/>
  <c r="AF33" i="2"/>
  <c r="AG33" i="2"/>
  <c r="AH33" i="2"/>
  <c r="Z33" i="2"/>
  <c r="AA34" i="2"/>
  <c r="AB34" i="2"/>
  <c r="AC34" i="2"/>
  <c r="AD34" i="2"/>
  <c r="AE34" i="2"/>
  <c r="AF34" i="2"/>
  <c r="AG34" i="2"/>
  <c r="AH34" i="2"/>
  <c r="Z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C34" i="2"/>
  <c r="AA7" i="1"/>
  <c r="AB7" i="1"/>
  <c r="AC7" i="1"/>
  <c r="AD7" i="1"/>
  <c r="AE7" i="1"/>
  <c r="AF7" i="1"/>
  <c r="AG7" i="1"/>
  <c r="AH7" i="1"/>
  <c r="Z7" i="1"/>
  <c r="AA6" i="1"/>
  <c r="AB6" i="1"/>
  <c r="AC6" i="1"/>
  <c r="AD6" i="1"/>
  <c r="AE6" i="1"/>
  <c r="AF6" i="1"/>
  <c r="AG6" i="1"/>
  <c r="AH6" i="1"/>
  <c r="Z6" i="1"/>
  <c r="AA5" i="1"/>
  <c r="AB5" i="1"/>
  <c r="AC5" i="1"/>
  <c r="AD5" i="1"/>
  <c r="AE5" i="1"/>
  <c r="AF5" i="1"/>
  <c r="AG5" i="1"/>
  <c r="AH5" i="1"/>
  <c r="Z5" i="1"/>
  <c r="AA27" i="2"/>
  <c r="AB27" i="2"/>
  <c r="AC27" i="2"/>
  <c r="AD27" i="2"/>
  <c r="AE27" i="2"/>
  <c r="AF27" i="2"/>
  <c r="AG27" i="2"/>
  <c r="AH27" i="2"/>
  <c r="AA28" i="2"/>
  <c r="AB28" i="2"/>
  <c r="AC28" i="2"/>
  <c r="AD28" i="2"/>
  <c r="AE28" i="2"/>
  <c r="AF28" i="2"/>
  <c r="AG28" i="2"/>
  <c r="AH28" i="2"/>
  <c r="Z27" i="2"/>
  <c r="AA23" i="2"/>
  <c r="AB23" i="2"/>
  <c r="AC23" i="2"/>
  <c r="AD23" i="2"/>
  <c r="AE23" i="2"/>
  <c r="AF23" i="2"/>
  <c r="AG23" i="2"/>
  <c r="AH23" i="2"/>
  <c r="Z23" i="2"/>
  <c r="AA19" i="2"/>
  <c r="AB19" i="2"/>
  <c r="AC19" i="2"/>
  <c r="AD19" i="2"/>
  <c r="AE19" i="2"/>
  <c r="AF19" i="2"/>
  <c r="AG19" i="2"/>
  <c r="AH19" i="2"/>
  <c r="Z19" i="2"/>
  <c r="Z28" i="2"/>
  <c r="AA24" i="2"/>
  <c r="AB24" i="2"/>
  <c r="AC24" i="2"/>
  <c r="AD24" i="2"/>
  <c r="AE24" i="2"/>
  <c r="AF24" i="2"/>
  <c r="AG24" i="2"/>
  <c r="AH24" i="2"/>
  <c r="Z24" i="2"/>
  <c r="AA20" i="2"/>
  <c r="AB20" i="2"/>
  <c r="AC20" i="2"/>
  <c r="AD20" i="2"/>
  <c r="AE20" i="2"/>
  <c r="AF20" i="2"/>
  <c r="AG20" i="2"/>
  <c r="AH20" i="2"/>
  <c r="Z20" i="2"/>
  <c r="Y29" i="2"/>
  <c r="X29" i="2"/>
  <c r="W29" i="2"/>
  <c r="V29" i="2"/>
  <c r="U29" i="2"/>
  <c r="T29" i="2"/>
  <c r="S29" i="2"/>
  <c r="R29" i="2"/>
  <c r="Q29" i="2"/>
  <c r="P29" i="2"/>
  <c r="O29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G21" i="2"/>
  <c r="Z25" i="2"/>
  <c r="AA25" i="2"/>
  <c r="AB25" i="2"/>
  <c r="AC25" i="2"/>
  <c r="AD25" i="2"/>
  <c r="AE25" i="2"/>
  <c r="AF25" i="2"/>
  <c r="AG25" i="2"/>
  <c r="AH25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C30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D20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5" i="2"/>
  <c r="AA4" i="2"/>
  <c r="AB4" i="2"/>
  <c r="AC4" i="2"/>
  <c r="AD4" i="2"/>
  <c r="AD6" i="2"/>
  <c r="AE4" i="2"/>
  <c r="AE6" i="2"/>
  <c r="AF4" i="2"/>
  <c r="AG4" i="2"/>
  <c r="AG5" i="2"/>
  <c r="AH4" i="2"/>
  <c r="AH5" i="2"/>
  <c r="Z4" i="2"/>
  <c r="AA8" i="2"/>
  <c r="AB8" i="2"/>
  <c r="AC8" i="2"/>
  <c r="AD8" i="2"/>
  <c r="AE8" i="2"/>
  <c r="AF8" i="2"/>
  <c r="AG8" i="2"/>
  <c r="AH8" i="2"/>
  <c r="Z8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D10" i="2"/>
  <c r="AA12" i="2"/>
  <c r="AE12" i="2"/>
  <c r="Z12" i="2"/>
  <c r="AD12" i="2"/>
  <c r="AH12" i="2"/>
  <c r="Y13" i="2"/>
  <c r="P13" i="2"/>
  <c r="Y12" i="2"/>
  <c r="AC12" i="2"/>
  <c r="AG12" i="2"/>
  <c r="X12" i="2"/>
  <c r="AB12" i="2"/>
  <c r="AF12" i="2"/>
  <c r="W12" i="2"/>
  <c r="V12" i="2"/>
  <c r="U12" i="2"/>
  <c r="U13" i="2"/>
  <c r="T12" i="2"/>
  <c r="X13" i="2"/>
  <c r="S12" i="2"/>
  <c r="W13" i="2"/>
  <c r="R12" i="2"/>
  <c r="R13" i="2"/>
  <c r="Q12" i="2"/>
  <c r="P12" i="2"/>
  <c r="O12" i="2"/>
  <c r="O13" i="2"/>
  <c r="N12" i="2"/>
  <c r="N13" i="2"/>
  <c r="M12" i="2"/>
  <c r="M13" i="2"/>
  <c r="L12" i="2"/>
  <c r="K12" i="2"/>
  <c r="J12" i="2"/>
  <c r="J13" i="2"/>
  <c r="I12" i="2"/>
  <c r="I13" i="2"/>
  <c r="H12" i="2"/>
  <c r="L13" i="2"/>
  <c r="G12" i="2"/>
  <c r="K13" i="2"/>
  <c r="F12" i="2"/>
  <c r="E12" i="2"/>
  <c r="D12" i="2"/>
  <c r="C12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AH6" i="2"/>
  <c r="AG6" i="2"/>
  <c r="AF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Z17" i="2"/>
  <c r="Z4" i="1"/>
  <c r="AA15" i="2"/>
  <c r="V13" i="2"/>
  <c r="Q13" i="2"/>
  <c r="G13" i="2"/>
  <c r="S13" i="2"/>
  <c r="H13" i="2"/>
  <c r="T13" i="2"/>
  <c r="H48" i="3"/>
  <c r="I48" i="3"/>
  <c r="J48" i="3"/>
  <c r="H40" i="3"/>
  <c r="I40" i="3"/>
  <c r="H42" i="3"/>
  <c r="H39" i="3"/>
  <c r="H50" i="3"/>
  <c r="I50" i="3"/>
  <c r="J50" i="3"/>
  <c r="H46" i="3"/>
  <c r="H15" i="3"/>
  <c r="H16" i="3"/>
  <c r="I16" i="3"/>
  <c r="H17" i="3"/>
  <c r="H18" i="3"/>
  <c r="I18" i="3"/>
  <c r="H19" i="3"/>
  <c r="I19" i="3"/>
  <c r="J19" i="3"/>
  <c r="H20" i="3"/>
  <c r="I20" i="3"/>
  <c r="H21" i="3"/>
  <c r="H22" i="3"/>
  <c r="I22" i="3"/>
  <c r="J22" i="3"/>
  <c r="H23" i="3"/>
  <c r="I23" i="3"/>
  <c r="J23" i="3"/>
  <c r="H24" i="3"/>
  <c r="I24" i="3"/>
  <c r="H25" i="3"/>
  <c r="I25" i="3"/>
  <c r="H26" i="3"/>
  <c r="I26" i="3"/>
  <c r="J26" i="3"/>
  <c r="H14" i="3"/>
  <c r="I14" i="3"/>
  <c r="I34" i="3"/>
  <c r="J34" i="3"/>
  <c r="H31" i="3"/>
  <c r="H34" i="3"/>
  <c r="G65" i="3"/>
  <c r="D65" i="3"/>
  <c r="H10" i="3"/>
  <c r="I10" i="3"/>
  <c r="J10" i="3"/>
  <c r="H9" i="3"/>
  <c r="I9" i="3"/>
  <c r="J9" i="3"/>
  <c r="H8" i="3"/>
  <c r="H7" i="3"/>
  <c r="I7" i="3"/>
  <c r="H5" i="3"/>
  <c r="D27" i="3"/>
  <c r="E27" i="3"/>
  <c r="F27" i="3"/>
  <c r="G27" i="3"/>
  <c r="C27" i="3"/>
  <c r="AJ9" i="1"/>
  <c r="AK9" i="1"/>
  <c r="AL9" i="1"/>
  <c r="AM9" i="1"/>
  <c r="AN9" i="1"/>
  <c r="AO9" i="1"/>
  <c r="AP9" i="1"/>
  <c r="AQ9" i="1"/>
  <c r="AJ10" i="1"/>
  <c r="AK10" i="1"/>
  <c r="AL10" i="1"/>
  <c r="AM10" i="1"/>
  <c r="AN10" i="1"/>
  <c r="AJ11" i="1"/>
  <c r="AK11" i="1"/>
  <c r="AL11" i="1"/>
  <c r="AM11" i="1"/>
  <c r="AN11" i="1"/>
  <c r="AJ12" i="1"/>
  <c r="AK12" i="1"/>
  <c r="AL12" i="1"/>
  <c r="AM12" i="1"/>
  <c r="AN12" i="1"/>
  <c r="AJ13" i="1"/>
  <c r="AK13" i="1"/>
  <c r="AL13" i="1"/>
  <c r="AM13" i="1"/>
  <c r="AN13" i="1"/>
  <c r="AJ16" i="1"/>
  <c r="AK16" i="1"/>
  <c r="AL16" i="1"/>
  <c r="AM16" i="1"/>
  <c r="AN16" i="1"/>
  <c r="AJ18" i="1"/>
  <c r="AK18" i="1"/>
  <c r="AL18" i="1"/>
  <c r="AM18" i="1"/>
  <c r="AN18" i="1"/>
  <c r="AO18" i="1"/>
  <c r="AP18" i="1"/>
  <c r="AQ18" i="1"/>
  <c r="AJ19" i="1"/>
  <c r="AK19" i="1"/>
  <c r="AL19" i="1"/>
  <c r="AM19" i="1"/>
  <c r="AN19" i="1"/>
  <c r="AO19" i="1"/>
  <c r="AP19" i="1"/>
  <c r="AQ19" i="1"/>
  <c r="AJ20" i="1"/>
  <c r="AK20" i="1"/>
  <c r="AL20" i="1"/>
  <c r="AM20" i="1"/>
  <c r="AN20" i="1"/>
  <c r="AO20" i="1"/>
  <c r="AP20" i="1"/>
  <c r="AQ20" i="1"/>
  <c r="AJ22" i="1"/>
  <c r="AK22" i="1"/>
  <c r="AL22" i="1"/>
  <c r="AM22" i="1"/>
  <c r="AN22" i="1"/>
  <c r="AJ24" i="1"/>
  <c r="AK24" i="1"/>
  <c r="AL24" i="1"/>
  <c r="AM24" i="1"/>
  <c r="AN24" i="1"/>
  <c r="AO24" i="1"/>
  <c r="AP24" i="1"/>
  <c r="AQ24" i="1"/>
  <c r="AJ26" i="1"/>
  <c r="AK26" i="1"/>
  <c r="AL26" i="1"/>
  <c r="AM26" i="1"/>
  <c r="AN26" i="1"/>
  <c r="AO26" i="1"/>
  <c r="AP26" i="1"/>
  <c r="AQ26" i="1"/>
  <c r="AJ28" i="1"/>
  <c r="AK28" i="1"/>
  <c r="AL28" i="1"/>
  <c r="AM28" i="1"/>
  <c r="AN28" i="1"/>
  <c r="AO28" i="1"/>
  <c r="AP28" i="1"/>
  <c r="AQ28" i="1"/>
  <c r="AJ31" i="1"/>
  <c r="AK31" i="1"/>
  <c r="AL31" i="1"/>
  <c r="AM31" i="1"/>
  <c r="AN31" i="1"/>
  <c r="AO31" i="1"/>
  <c r="AP31" i="1"/>
  <c r="AQ31" i="1"/>
  <c r="AQ7" i="1"/>
  <c r="AP7" i="1"/>
  <c r="AO7" i="1"/>
  <c r="AN7" i="1"/>
  <c r="AM7" i="1"/>
  <c r="AL7" i="1"/>
  <c r="AK7" i="1"/>
  <c r="AJ7" i="1"/>
  <c r="AQ6" i="1"/>
  <c r="AP6" i="1"/>
  <c r="AO6" i="1"/>
  <c r="AN6" i="1"/>
  <c r="AM6" i="1"/>
  <c r="AL6" i="1"/>
  <c r="AK6" i="1"/>
  <c r="AJ6" i="1"/>
  <c r="AQ5" i="1"/>
  <c r="AP5" i="1"/>
  <c r="AO5" i="1"/>
  <c r="AN5" i="1"/>
  <c r="AM5" i="1"/>
  <c r="AL5" i="1"/>
  <c r="AK5" i="1"/>
  <c r="AJ5" i="1"/>
  <c r="AO4" i="1"/>
  <c r="AN4" i="1"/>
  <c r="AM4" i="1"/>
  <c r="AL4" i="1"/>
  <c r="AK4" i="1"/>
  <c r="AJ4" i="1"/>
  <c r="G68" i="3"/>
  <c r="F68" i="3"/>
  <c r="D68" i="3"/>
  <c r="C68" i="3"/>
  <c r="E68" i="3"/>
  <c r="AA17" i="2"/>
  <c r="AA4" i="1"/>
  <c r="AB15" i="2"/>
  <c r="F65" i="3"/>
  <c r="E65" i="3"/>
  <c r="J7" i="3"/>
  <c r="J18" i="3"/>
  <c r="I17" i="3"/>
  <c r="J17" i="3"/>
  <c r="I31" i="3"/>
  <c r="J31" i="3"/>
  <c r="I15" i="3"/>
  <c r="I46" i="3"/>
  <c r="J46" i="3"/>
  <c r="I39" i="3"/>
  <c r="J14" i="3"/>
  <c r="I21" i="3"/>
  <c r="J21" i="3"/>
  <c r="I5" i="3"/>
  <c r="I8" i="3"/>
  <c r="J8" i="3"/>
  <c r="J40" i="3"/>
  <c r="I42" i="3"/>
  <c r="J25" i="3"/>
  <c r="J20" i="3"/>
  <c r="J24" i="3"/>
  <c r="J16" i="3"/>
  <c r="AB17" i="2"/>
  <c r="AB4" i="1"/>
  <c r="AC15" i="2"/>
  <c r="J5" i="3"/>
  <c r="J15" i="3"/>
  <c r="J39" i="3"/>
  <c r="J42" i="3"/>
  <c r="AD15" i="2"/>
  <c r="AC17" i="2"/>
  <c r="AC4" i="1"/>
  <c r="AE15" i="2"/>
  <c r="AD17" i="2"/>
  <c r="AD4" i="1"/>
  <c r="AP4" i="1"/>
  <c r="G49" i="3"/>
  <c r="F49" i="3"/>
  <c r="E49" i="3"/>
  <c r="C49" i="3"/>
  <c r="D49" i="3"/>
  <c r="E43" i="3"/>
  <c r="D43" i="3"/>
  <c r="C43" i="3"/>
  <c r="G41" i="3"/>
  <c r="F41" i="3"/>
  <c r="G34" i="3"/>
  <c r="F34" i="3"/>
  <c r="G30" i="3"/>
  <c r="F30" i="3"/>
  <c r="E30" i="3"/>
  <c r="D30" i="3"/>
  <c r="C30" i="3"/>
  <c r="G11" i="3"/>
  <c r="F11" i="3"/>
  <c r="E11" i="3"/>
  <c r="D11" i="3"/>
  <c r="C11" i="3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C14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C8" i="1"/>
  <c r="AO8" i="1"/>
  <c r="AD8" i="1"/>
  <c r="AN8" i="1"/>
  <c r="AK8" i="1"/>
  <c r="AM14" i="1"/>
  <c r="AM8" i="1"/>
  <c r="AJ14" i="1"/>
  <c r="C62" i="3"/>
  <c r="AL14" i="1"/>
  <c r="E62" i="3"/>
  <c r="H66" i="3"/>
  <c r="H68" i="3"/>
  <c r="H70" i="3"/>
  <c r="AL8" i="1"/>
  <c r="AN14" i="1"/>
  <c r="G62" i="3"/>
  <c r="H62" i="3"/>
  <c r="I62" i="3"/>
  <c r="J62" i="3"/>
  <c r="AJ8" i="1"/>
  <c r="AK14" i="1"/>
  <c r="D62" i="3"/>
  <c r="AF15" i="2"/>
  <c r="AE17" i="2"/>
  <c r="AE4" i="1"/>
  <c r="AP8" i="1"/>
  <c r="C51" i="3"/>
  <c r="D51" i="3"/>
  <c r="F51" i="3"/>
  <c r="G51" i="3"/>
  <c r="F43" i="3"/>
  <c r="E51" i="3"/>
  <c r="F62" i="3"/>
  <c r="G43" i="3"/>
  <c r="H41" i="3"/>
  <c r="C28" i="3"/>
  <c r="F28" i="3"/>
  <c r="E28" i="3"/>
  <c r="E37" i="3"/>
  <c r="E44" i="3"/>
  <c r="D28" i="3"/>
  <c r="C37" i="3"/>
  <c r="D37" i="3"/>
  <c r="G28" i="3"/>
  <c r="G37" i="3"/>
  <c r="F37" i="3"/>
  <c r="L15" i="1"/>
  <c r="L17" i="1"/>
  <c r="L21" i="1"/>
  <c r="K15" i="1"/>
  <c r="P15" i="1"/>
  <c r="P17" i="1"/>
  <c r="P21" i="1"/>
  <c r="I15" i="1"/>
  <c r="I17" i="1"/>
  <c r="I21" i="1"/>
  <c r="J15" i="1"/>
  <c r="J17" i="1"/>
  <c r="J21" i="1"/>
  <c r="U15" i="1"/>
  <c r="U17" i="1"/>
  <c r="U21" i="1"/>
  <c r="T15" i="1"/>
  <c r="T17" i="1"/>
  <c r="T21" i="1"/>
  <c r="H15" i="1"/>
  <c r="H17" i="1"/>
  <c r="H21" i="1"/>
  <c r="S15" i="1"/>
  <c r="G15" i="1"/>
  <c r="F15" i="1"/>
  <c r="F17" i="1"/>
  <c r="F21" i="1"/>
  <c r="Q15" i="1"/>
  <c r="Q17" i="1"/>
  <c r="Q21" i="1"/>
  <c r="E15" i="1"/>
  <c r="E17" i="1"/>
  <c r="E21" i="1"/>
  <c r="D15" i="1"/>
  <c r="D17" i="1"/>
  <c r="D21" i="1"/>
  <c r="R15" i="1"/>
  <c r="R17" i="1"/>
  <c r="R21" i="1"/>
  <c r="O15" i="1"/>
  <c r="N15" i="1"/>
  <c r="N17" i="1"/>
  <c r="N21" i="1"/>
  <c r="Y15" i="1"/>
  <c r="Y17" i="1"/>
  <c r="Y21" i="1"/>
  <c r="M15" i="1"/>
  <c r="M17" i="1"/>
  <c r="M21" i="1"/>
  <c r="X15" i="1"/>
  <c r="X17" i="1"/>
  <c r="X21" i="1"/>
  <c r="C15" i="1"/>
  <c r="W15" i="1"/>
  <c r="W17" i="1"/>
  <c r="W21" i="1"/>
  <c r="V15" i="1"/>
  <c r="V17" i="1"/>
  <c r="V21" i="1"/>
  <c r="M25" i="1"/>
  <c r="M27" i="1"/>
  <c r="M23" i="1"/>
  <c r="S17" i="1"/>
  <c r="AN15" i="1"/>
  <c r="N25" i="1"/>
  <c r="N27" i="1"/>
  <c r="N23" i="1"/>
  <c r="C17" i="1"/>
  <c r="AJ15" i="1"/>
  <c r="O17" i="1"/>
  <c r="AM15" i="1"/>
  <c r="U25" i="1"/>
  <c r="U27" i="1"/>
  <c r="U23" i="1"/>
  <c r="X25" i="1"/>
  <c r="X27" i="1"/>
  <c r="X23" i="1"/>
  <c r="T25" i="1"/>
  <c r="T27" i="1"/>
  <c r="T23" i="1"/>
  <c r="K17" i="1"/>
  <c r="AL15" i="1"/>
  <c r="I68" i="3"/>
  <c r="I66" i="3"/>
  <c r="I65" i="3"/>
  <c r="I70" i="3"/>
  <c r="H13" i="3"/>
  <c r="H27" i="3"/>
  <c r="AE8" i="1"/>
  <c r="C67" i="3"/>
  <c r="C61" i="3"/>
  <c r="C69" i="3"/>
  <c r="Y25" i="1"/>
  <c r="Y27" i="1"/>
  <c r="Y23" i="1"/>
  <c r="E67" i="3"/>
  <c r="E61" i="3"/>
  <c r="E69" i="3"/>
  <c r="H25" i="1"/>
  <c r="H27" i="1"/>
  <c r="H23" i="1"/>
  <c r="L25" i="1"/>
  <c r="L27" i="1"/>
  <c r="L23" i="1"/>
  <c r="R25" i="1"/>
  <c r="R27" i="1"/>
  <c r="R23" i="1"/>
  <c r="D25" i="1"/>
  <c r="D27" i="1"/>
  <c r="D23" i="1"/>
  <c r="J25" i="1"/>
  <c r="J27" i="1"/>
  <c r="J23" i="1"/>
  <c r="E25" i="1"/>
  <c r="E27" i="1"/>
  <c r="E23" i="1"/>
  <c r="I25" i="1"/>
  <c r="I27" i="1"/>
  <c r="I23" i="1"/>
  <c r="F67" i="3"/>
  <c r="F61" i="3"/>
  <c r="F69" i="3"/>
  <c r="Q25" i="1"/>
  <c r="Q27" i="1"/>
  <c r="Q23" i="1"/>
  <c r="V25" i="1"/>
  <c r="V27" i="1"/>
  <c r="V23" i="1"/>
  <c r="F25" i="1"/>
  <c r="F27" i="1"/>
  <c r="F23" i="1"/>
  <c r="P25" i="1"/>
  <c r="P27" i="1"/>
  <c r="P23" i="1"/>
  <c r="D67" i="3"/>
  <c r="D61" i="3"/>
  <c r="D69" i="3"/>
  <c r="W25" i="1"/>
  <c r="W27" i="1"/>
  <c r="W23" i="1"/>
  <c r="G17" i="1"/>
  <c r="AK15" i="1"/>
  <c r="AG15" i="2"/>
  <c r="AF17" i="2"/>
  <c r="AF4" i="1"/>
  <c r="AF8" i="1"/>
  <c r="G67" i="3"/>
  <c r="G61" i="3"/>
  <c r="H61" i="3"/>
  <c r="I61" i="3"/>
  <c r="J61" i="3"/>
  <c r="G69" i="3"/>
  <c r="F44" i="3"/>
  <c r="D44" i="3"/>
  <c r="C44" i="3"/>
  <c r="I41" i="3"/>
  <c r="H43" i="3"/>
  <c r="E52" i="3"/>
  <c r="G44" i="3"/>
  <c r="L32" i="1"/>
  <c r="L33" i="1"/>
  <c r="U33" i="1"/>
  <c r="U32" i="1"/>
  <c r="P33" i="1"/>
  <c r="P32" i="1"/>
  <c r="C21" i="1"/>
  <c r="AJ17" i="1"/>
  <c r="AQ8" i="1"/>
  <c r="I33" i="1"/>
  <c r="I32" i="1"/>
  <c r="AH15" i="2"/>
  <c r="AH17" i="2"/>
  <c r="AH4" i="1"/>
  <c r="AH8" i="1"/>
  <c r="AG17" i="2"/>
  <c r="AG4" i="1"/>
  <c r="AG8" i="1"/>
  <c r="J32" i="1"/>
  <c r="J33" i="1"/>
  <c r="K21" i="1"/>
  <c r="AL17" i="1"/>
  <c r="N32" i="1"/>
  <c r="N33" i="1"/>
  <c r="J65" i="3"/>
  <c r="I13" i="3"/>
  <c r="E33" i="1"/>
  <c r="E32" i="1"/>
  <c r="F32" i="1"/>
  <c r="F33" i="1"/>
  <c r="V32" i="1"/>
  <c r="V33" i="1"/>
  <c r="H47" i="3"/>
  <c r="Y32" i="1"/>
  <c r="Y33" i="1"/>
  <c r="G21" i="1"/>
  <c r="AK17" i="1"/>
  <c r="T33" i="1"/>
  <c r="T32" i="1"/>
  <c r="S21" i="1"/>
  <c r="AN17" i="1"/>
  <c r="H33" i="1"/>
  <c r="H32" i="1"/>
  <c r="O21" i="1"/>
  <c r="AM17" i="1"/>
  <c r="D33" i="1"/>
  <c r="D32" i="1"/>
  <c r="Q33" i="1"/>
  <c r="Q32" i="1"/>
  <c r="W32" i="1"/>
  <c r="W33" i="1"/>
  <c r="R33" i="1"/>
  <c r="R32" i="1"/>
  <c r="X32" i="1"/>
  <c r="X33" i="1"/>
  <c r="M32" i="1"/>
  <c r="M33" i="1"/>
  <c r="E54" i="3" a="1"/>
  <c r="E54" i="3"/>
  <c r="D52" i="3"/>
  <c r="G52" i="3"/>
  <c r="J41" i="3"/>
  <c r="I43" i="3"/>
  <c r="C52" i="3"/>
  <c r="F52" i="3"/>
  <c r="G25" i="1"/>
  <c r="G23" i="1"/>
  <c r="AK21" i="1"/>
  <c r="I27" i="3"/>
  <c r="J66" i="3"/>
  <c r="J68" i="3"/>
  <c r="C25" i="1"/>
  <c r="C23" i="1"/>
  <c r="AJ21" i="1"/>
  <c r="H49" i="3"/>
  <c r="K25" i="1"/>
  <c r="K23" i="1"/>
  <c r="AL21" i="1"/>
  <c r="O25" i="1"/>
  <c r="O23" i="1"/>
  <c r="AM21" i="1"/>
  <c r="AQ4" i="1"/>
  <c r="S25" i="1"/>
  <c r="S23" i="1"/>
  <c r="AN21" i="1"/>
  <c r="F54" i="3" a="1"/>
  <c r="F54" i="3"/>
  <c r="J43" i="3"/>
  <c r="G54" i="3" a="1"/>
  <c r="G54" i="3"/>
  <c r="C54" i="3" a="1"/>
  <c r="C54" i="3"/>
  <c r="D54" i="3" a="1"/>
  <c r="D54" i="3"/>
  <c r="J70" i="3"/>
  <c r="J13" i="3"/>
  <c r="J27" i="3"/>
  <c r="S27" i="1"/>
  <c r="AN25" i="1"/>
  <c r="C27" i="1"/>
  <c r="AJ25" i="1"/>
  <c r="O27" i="1"/>
  <c r="AM25" i="1"/>
  <c r="K27" i="1"/>
  <c r="AL25" i="1"/>
  <c r="G27" i="1"/>
  <c r="AK25" i="1"/>
  <c r="AL27" i="1"/>
  <c r="K32" i="1"/>
  <c r="AL32" i="1"/>
  <c r="K33" i="1"/>
  <c r="AL33" i="1"/>
  <c r="AM27" i="1"/>
  <c r="O32" i="1"/>
  <c r="AM32" i="1"/>
  <c r="O33" i="1"/>
  <c r="AM33" i="1"/>
  <c r="AJ27" i="1"/>
  <c r="C33" i="1"/>
  <c r="AJ33" i="1"/>
  <c r="C32" i="1"/>
  <c r="AN27" i="1"/>
  <c r="S33" i="1"/>
  <c r="AN33" i="1"/>
  <c r="S32" i="1"/>
  <c r="AN32" i="1"/>
  <c r="AK27" i="1"/>
  <c r="G33" i="1"/>
  <c r="AK33" i="1"/>
  <c r="G32" i="1"/>
  <c r="AK32" i="1"/>
  <c r="H6" i="3"/>
  <c r="H30" i="3"/>
  <c r="H37" i="3"/>
  <c r="H44" i="3"/>
  <c r="H11" i="3"/>
  <c r="H28" i="3"/>
  <c r="H54" i="3"/>
  <c r="I30" i="3"/>
  <c r="I6" i="3"/>
  <c r="I11" i="3"/>
  <c r="J6" i="3"/>
  <c r="J30" i="3"/>
  <c r="I28" i="3"/>
  <c r="I54" i="3"/>
  <c r="J37" i="3"/>
  <c r="I37" i="3"/>
  <c r="I44" i="3"/>
  <c r="J11" i="3"/>
  <c r="J44" i="3"/>
  <c r="J28" i="3"/>
  <c r="J54" i="3"/>
  <c r="Z30" i="2"/>
  <c r="AD30" i="2"/>
  <c r="AH30" i="2"/>
  <c r="AE30" i="2"/>
  <c r="AG30" i="2"/>
  <c r="AB30" i="2"/>
  <c r="AF30" i="2"/>
  <c r="AC30" i="2"/>
  <c r="AA30" i="2"/>
  <c r="AA36" i="2"/>
  <c r="AA10" i="1"/>
  <c r="AA45" i="2"/>
  <c r="AA13" i="1"/>
  <c r="AA42" i="2"/>
  <c r="AA12" i="1"/>
  <c r="AA39" i="2"/>
  <c r="AA11" i="1"/>
  <c r="AC42" i="2"/>
  <c r="AC12" i="1"/>
  <c r="AC36" i="2"/>
  <c r="AC10" i="1"/>
  <c r="AC45" i="2"/>
  <c r="AC13" i="1"/>
  <c r="AC39" i="2"/>
  <c r="AC11" i="1"/>
  <c r="AF39" i="2"/>
  <c r="AF11" i="1"/>
  <c r="AF42" i="2"/>
  <c r="AF12" i="1"/>
  <c r="AF36" i="2"/>
  <c r="AF10" i="1"/>
  <c r="AF45" i="2"/>
  <c r="AF13" i="1"/>
  <c r="AB42" i="2"/>
  <c r="AB12" i="1"/>
  <c r="AB36" i="2"/>
  <c r="AB10" i="1"/>
  <c r="AB45" i="2"/>
  <c r="AB13" i="1"/>
  <c r="AB39" i="2"/>
  <c r="AB11" i="1"/>
  <c r="AG39" i="2"/>
  <c r="AG11" i="1"/>
  <c r="AG42" i="2"/>
  <c r="AG12" i="1"/>
  <c r="AG36" i="2"/>
  <c r="AG10" i="1"/>
  <c r="AG45" i="2"/>
  <c r="AG13" i="1"/>
  <c r="AE42" i="2"/>
  <c r="AE12" i="1"/>
  <c r="AE36" i="2"/>
  <c r="AE10" i="1"/>
  <c r="AE45" i="2"/>
  <c r="AE13" i="1"/>
  <c r="AE39" i="2"/>
  <c r="AE11" i="1"/>
  <c r="AH39" i="2"/>
  <c r="AH11" i="1"/>
  <c r="AH42" i="2"/>
  <c r="AH12" i="1"/>
  <c r="AH36" i="2"/>
  <c r="AH10" i="1"/>
  <c r="AH45" i="2"/>
  <c r="AH13" i="1"/>
  <c r="AD42" i="2"/>
  <c r="AD12" i="1"/>
  <c r="AD36" i="2"/>
  <c r="AD10" i="1"/>
  <c r="AD45" i="2"/>
  <c r="AD13" i="1"/>
  <c r="AD39" i="2"/>
  <c r="AD11" i="1"/>
  <c r="Z39" i="2"/>
  <c r="Z11" i="1"/>
  <c r="AO11" i="1"/>
  <c r="Z45" i="2"/>
  <c r="Z13" i="1"/>
  <c r="AO13" i="1"/>
  <c r="Z42" i="2"/>
  <c r="Z12" i="1"/>
  <c r="AO12" i="1"/>
  <c r="Z36" i="2"/>
  <c r="Z10" i="1"/>
  <c r="AQ11" i="1"/>
  <c r="AQ12" i="1"/>
  <c r="AD14" i="1"/>
  <c r="AD15" i="1"/>
  <c r="AD17" i="1"/>
  <c r="AD21" i="1"/>
  <c r="AQ10" i="1"/>
  <c r="AE14" i="1"/>
  <c r="AD22" i="1"/>
  <c r="AD25" i="1"/>
  <c r="AD27" i="1"/>
  <c r="AF14" i="1"/>
  <c r="AF15" i="1"/>
  <c r="AF17" i="1"/>
  <c r="AF21" i="1"/>
  <c r="AC14" i="1"/>
  <c r="AC15" i="1"/>
  <c r="AC17" i="1"/>
  <c r="AC21" i="1"/>
  <c r="AO10" i="1"/>
  <c r="Z14" i="1"/>
  <c r="AG14" i="1"/>
  <c r="AG15" i="1"/>
  <c r="AG17" i="1"/>
  <c r="AG21" i="1"/>
  <c r="AP11" i="1"/>
  <c r="AQ13" i="1"/>
  <c r="AH14" i="1"/>
  <c r="AH15" i="1"/>
  <c r="AH17" i="1"/>
  <c r="AH21" i="1"/>
  <c r="AP12" i="1"/>
  <c r="AB14" i="1"/>
  <c r="AB15" i="1"/>
  <c r="AB17" i="1"/>
  <c r="AB21" i="1"/>
  <c r="AP13" i="1"/>
  <c r="AP10" i="1"/>
  <c r="AA14" i="1"/>
  <c r="AH22" i="1"/>
  <c r="AH25" i="1"/>
  <c r="AH27" i="1"/>
  <c r="AG22" i="1"/>
  <c r="AG25" i="1"/>
  <c r="AG27" i="1"/>
  <c r="AO14" i="1"/>
  <c r="Z15" i="1"/>
  <c r="AC22" i="1"/>
  <c r="AC25" i="1"/>
  <c r="AC27" i="1"/>
  <c r="AA15" i="1"/>
  <c r="AP14" i="1"/>
  <c r="AF22" i="1"/>
  <c r="AF25" i="1"/>
  <c r="AF27" i="1"/>
  <c r="AD32" i="1"/>
  <c r="AD33" i="1"/>
  <c r="AB22" i="1"/>
  <c r="AB25" i="1"/>
  <c r="AB27" i="1"/>
  <c r="AQ14" i="1"/>
  <c r="AE15" i="1"/>
  <c r="AF33" i="1"/>
  <c r="AF32" i="1"/>
  <c r="AA17" i="1"/>
  <c r="AP15" i="1"/>
  <c r="AC33" i="1"/>
  <c r="AC32" i="1"/>
  <c r="AQ15" i="1"/>
  <c r="AE17" i="1"/>
  <c r="Z17" i="1"/>
  <c r="AO15" i="1"/>
  <c r="AB32" i="1"/>
  <c r="AB33" i="1"/>
  <c r="AG32" i="1"/>
  <c r="AG33" i="1"/>
  <c r="AH33" i="1"/>
  <c r="AH32" i="1"/>
  <c r="AO17" i="1"/>
  <c r="Z21" i="1"/>
  <c r="AE21" i="1"/>
  <c r="AQ17" i="1"/>
  <c r="AA21" i="1"/>
  <c r="AP17" i="1"/>
  <c r="AA22" i="1"/>
  <c r="AP22" i="1"/>
  <c r="AA25" i="1"/>
  <c r="AP21" i="1"/>
  <c r="AE22" i="1"/>
  <c r="AQ22" i="1"/>
  <c r="AE25" i="1"/>
  <c r="AQ21" i="1"/>
  <c r="Z22" i="1"/>
  <c r="AO22" i="1"/>
  <c r="Z25" i="1"/>
  <c r="AO21" i="1"/>
  <c r="Z27" i="1"/>
  <c r="AO25" i="1"/>
  <c r="AE27" i="1"/>
  <c r="AQ25" i="1"/>
  <c r="AA27" i="1"/>
  <c r="AP25" i="1"/>
  <c r="AP27" i="1"/>
  <c r="AA33" i="1"/>
  <c r="AP33" i="1"/>
  <c r="AA32" i="1"/>
  <c r="AP32" i="1"/>
  <c r="AQ27" i="1"/>
  <c r="AE32" i="1"/>
  <c r="AQ32" i="1"/>
  <c r="AE33" i="1"/>
  <c r="AQ33" i="1"/>
  <c r="Z32" i="1"/>
  <c r="AO32" i="1"/>
  <c r="I47" i="3"/>
  <c r="AO27" i="1"/>
  <c r="Z33" i="1"/>
  <c r="AO33" i="1"/>
  <c r="J47" i="3"/>
  <c r="I49" i="3"/>
  <c r="I51" i="3"/>
  <c r="J49" i="3"/>
  <c r="J51" i="3"/>
  <c r="C32" i="4"/>
  <c r="H14" i="4"/>
  <c r="H25" i="4"/>
  <c r="I14" i="4"/>
  <c r="I25" i="4"/>
  <c r="J14" i="4"/>
  <c r="J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6" authorId="0" shapeId="0" xr:uid="{5545E7A6-9864-4198-BC8A-608838506D33}">
      <text>
        <r>
          <rPr>
            <sz val="9"/>
            <rFont val="Tahoma"/>
            <family val="2"/>
          </rPr>
          <t>Fresh issue of upto Rs 83bn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<sst xmlns="http://schemas.openxmlformats.org/spreadsheetml/2006/main" count="297" uniqueCount="204">
  <si>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</si>
  <si>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</si>
  <si>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</si>
  <si>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</si>
  <si>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</si>
  <si>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</si>
  <si>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</si>
  <si>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</si>
  <si>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</si>
  <si>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</si>
  <si>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</si>
  <si>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</si>
  <si>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1QFY24</t>
  </si>
  <si>
    <t>2QFY24</t>
  </si>
  <si>
    <t>3QFY24</t>
  </si>
  <si>
    <t>4QFY24</t>
  </si>
  <si>
    <t>1QFY25</t>
  </si>
  <si>
    <t>2QFY25</t>
  </si>
  <si>
    <t>3QFY25</t>
  </si>
  <si>
    <t>4QFY25</t>
  </si>
  <si>
    <t>1QFY26</t>
  </si>
  <si>
    <t>2QFY26</t>
  </si>
  <si>
    <t>3QFY26</t>
  </si>
  <si>
    <t>4QFY26E</t>
  </si>
  <si>
    <t>1QFY27E</t>
  </si>
  <si>
    <t>2QFY27E</t>
  </si>
  <si>
    <t>3QFY27E</t>
  </si>
  <si>
    <t>4QFY27E</t>
  </si>
  <si>
    <t>1QFY28E</t>
  </si>
  <si>
    <t>2QFY28E</t>
  </si>
  <si>
    <t>3QFY28E</t>
  </si>
  <si>
    <t>4QFY28E</t>
  </si>
  <si>
    <t>FY21</t>
  </si>
  <si>
    <t>FY22</t>
  </si>
  <si>
    <t>FY23</t>
  </si>
  <si>
    <t>FY24</t>
  </si>
  <si>
    <t>FY25</t>
  </si>
  <si>
    <t>FY26E</t>
  </si>
  <si>
    <t>FY27E</t>
  </si>
  <si>
    <t>FY28E</t>
  </si>
  <si>
    <t>Payments</t>
  </si>
  <si>
    <t>Financial services</t>
  </si>
  <si>
    <t>Other operating revenues</t>
  </si>
  <si>
    <t>Total Revenue</t>
  </si>
  <si>
    <t>Payment processing charges</t>
  </si>
  <si>
    <t>Marketing &amp; promotional expenses</t>
  </si>
  <si>
    <t>Employee Benefit Expense</t>
  </si>
  <si>
    <t>Software, cloud and data center expenses</t>
  </si>
  <si>
    <t>Other expenses</t>
  </si>
  <si>
    <t>Total Operating expenses</t>
  </si>
  <si>
    <t>EBITDA</t>
  </si>
  <si>
    <t>Total D&amp;A</t>
  </si>
  <si>
    <t>Depreciation</t>
  </si>
  <si>
    <t>EBIT</t>
  </si>
  <si>
    <t>Finance Cost</t>
  </si>
  <si>
    <t>other income</t>
  </si>
  <si>
    <t>share  in net profit/loss</t>
  </si>
  <si>
    <t>Profit before tax</t>
  </si>
  <si>
    <t>tax expense</t>
  </si>
  <si>
    <t>Net profit before minority interest</t>
  </si>
  <si>
    <t>minority interest</t>
  </si>
  <si>
    <t>Report net profit</t>
  </si>
  <si>
    <t>Shares basic</t>
  </si>
  <si>
    <t>Shares Diluted</t>
  </si>
  <si>
    <t>EPS Basic</t>
  </si>
  <si>
    <t>EPS Diluted</t>
  </si>
  <si>
    <t>Tax rate</t>
  </si>
  <si>
    <t>Extraordinary Items</t>
  </si>
  <si>
    <t>(all amounts are in inr millions)</t>
  </si>
  <si>
    <t>Cash and cash equivalents</t>
  </si>
  <si>
    <t>Other bank balance</t>
  </si>
  <si>
    <t>Trade receivables</t>
  </si>
  <si>
    <t>Current investments</t>
  </si>
  <si>
    <t>Loans</t>
  </si>
  <si>
    <t>Other financial assets</t>
  </si>
  <si>
    <t>Other current assets</t>
  </si>
  <si>
    <t>Current assets</t>
  </si>
  <si>
    <t>Property, Plant and Equipment</t>
  </si>
  <si>
    <t>Intangible assets</t>
  </si>
  <si>
    <t>Capital work in progress</t>
  </si>
  <si>
    <t>Right of use asset</t>
  </si>
  <si>
    <t>Goodwill</t>
  </si>
  <si>
    <t>Intangible assets under development</t>
  </si>
  <si>
    <t>Non-Current Investments</t>
  </si>
  <si>
    <t>Investment in joint ventures</t>
  </si>
  <si>
    <t>Investment in associates</t>
  </si>
  <si>
    <t>Current tax assets</t>
  </si>
  <si>
    <t>Deferred tax assets</t>
  </si>
  <si>
    <t>Other non-current assets</t>
  </si>
  <si>
    <t>Total assets</t>
  </si>
  <si>
    <t>Trade payables</t>
  </si>
  <si>
    <t>Borrowings</t>
  </si>
  <si>
    <t>Lease liabilities</t>
  </si>
  <si>
    <t>Other financial liabilities</t>
  </si>
  <si>
    <t>Other current liabilities</t>
  </si>
  <si>
    <t>Contract liabilities</t>
  </si>
  <si>
    <t>Provisions</t>
  </si>
  <si>
    <t>Current liabilities</t>
  </si>
  <si>
    <t>Deferred tax liabilities</t>
  </si>
  <si>
    <t>Total non-current liabilities</t>
  </si>
  <si>
    <t xml:space="preserve">Total liabilities   </t>
  </si>
  <si>
    <t>Common stock</t>
  </si>
  <si>
    <t>Total common equity</t>
  </si>
  <si>
    <t>Minority interest</t>
  </si>
  <si>
    <t>Total shareholders funds/equity</t>
  </si>
  <si>
    <t>Total liabilities and equity</t>
  </si>
  <si>
    <t>Check</t>
  </si>
  <si>
    <t>Non current assets</t>
  </si>
  <si>
    <t>Balance sheet working schedule</t>
  </si>
  <si>
    <t>Working Capital Calculation</t>
  </si>
  <si>
    <t>Days payable outstanding</t>
  </si>
  <si>
    <t>Days sales outstanding</t>
  </si>
  <si>
    <t>loans</t>
  </si>
  <si>
    <t>PPE Schedule</t>
  </si>
  <si>
    <t>beginning PPE</t>
  </si>
  <si>
    <t>capex</t>
  </si>
  <si>
    <t>depreciation</t>
  </si>
  <si>
    <t>Reserve and surplus</t>
  </si>
  <si>
    <t>other equity (esops)</t>
  </si>
  <si>
    <t>Payment GMV (Rs bn)</t>
  </si>
  <si>
    <t>Growth YoY (%)</t>
  </si>
  <si>
    <t>Growth QoQ  (%)</t>
  </si>
  <si>
    <t>Average MTU (mn)</t>
  </si>
  <si>
    <t>GMV/MTU (Rs.)</t>
  </si>
  <si>
    <t>Take rate</t>
  </si>
  <si>
    <t>Total Payments revenue</t>
  </si>
  <si>
    <t>Total Financial Service Revenue</t>
  </si>
  <si>
    <t>Total marketing revenue (commerce and cloud)</t>
  </si>
  <si>
    <t>Total other revenue</t>
  </si>
  <si>
    <t>COST</t>
  </si>
  <si>
    <t>Payment Processing Charge</t>
  </si>
  <si>
    <t>as % of GMV</t>
  </si>
  <si>
    <t>as % of total revenue</t>
  </si>
  <si>
    <t>Marketing Service (cloud and commerce)</t>
  </si>
  <si>
    <t>capex as % of revenue</t>
  </si>
  <si>
    <t>Ending PPE</t>
  </si>
  <si>
    <t>dep as % of saels</t>
  </si>
  <si>
    <t>Balance Sheet</t>
  </si>
  <si>
    <t>Cash Flow Statement</t>
  </si>
  <si>
    <t>Interest income</t>
  </si>
  <si>
    <t>Interest cost</t>
  </si>
  <si>
    <t>Impairment</t>
  </si>
  <si>
    <t>Bad debt</t>
  </si>
  <si>
    <t>Share- based payment expense</t>
  </si>
  <si>
    <t>Fair value loss/ (gain) on financial instruments</t>
  </si>
  <si>
    <t>Other income</t>
  </si>
  <si>
    <t>Operating loss before working capital changes</t>
  </si>
  <si>
    <t>(Increase)/decrease in working capital:</t>
  </si>
  <si>
    <t>Trade Payables</t>
  </si>
  <si>
    <t>Other liabilities</t>
  </si>
  <si>
    <t>Other assets</t>
  </si>
  <si>
    <t>Income tax paid</t>
  </si>
  <si>
    <t>Cash flow from operations</t>
  </si>
  <si>
    <t>Capital expenditure</t>
  </si>
  <si>
    <t>(Acquisitions)/divestitures</t>
  </si>
  <si>
    <t>Change in Intangibles</t>
  </si>
  <si>
    <t>Investments (net)</t>
  </si>
  <si>
    <t>Interest received</t>
  </si>
  <si>
    <t>Other investment cash flow items</t>
  </si>
  <si>
    <t>Cash flow from investing</t>
  </si>
  <si>
    <t>Proceeds from issue of shares</t>
  </si>
  <si>
    <t>Share issue expenses</t>
  </si>
  <si>
    <t>Share application money received during the year</t>
  </si>
  <si>
    <t>Acquisition of non controlling interests</t>
  </si>
  <si>
    <t>Repayment of borrowings on acquisition of subsidiaries</t>
  </si>
  <si>
    <t>Repayment of term loan</t>
  </si>
  <si>
    <t>Repayment of other borrowings</t>
  </si>
  <si>
    <t>Net change in working capital demand loan</t>
  </si>
  <si>
    <t>Interest paid</t>
  </si>
  <si>
    <t>Proceeds from loan</t>
  </si>
  <si>
    <t>Principal elements of lease payments</t>
  </si>
  <si>
    <t>Other financing cash flow items</t>
  </si>
  <si>
    <t>Cash flow from financing</t>
  </si>
  <si>
    <t>Net cash Flow</t>
  </si>
  <si>
    <t>beginning cash balance</t>
  </si>
  <si>
    <t>ending cash balance</t>
  </si>
  <si>
    <t>+ Depreciation and amortization</t>
  </si>
  <si>
    <t>- (Increase)/decrease in net WC</t>
  </si>
  <si>
    <t>- (Capital expenditure)</t>
  </si>
  <si>
    <t>FCF (Rs mn)</t>
  </si>
  <si>
    <t>% growth</t>
  </si>
  <si>
    <t>DCF</t>
  </si>
  <si>
    <t>EBIT x(1- tax rate))</t>
  </si>
  <si>
    <t>WACC</t>
  </si>
  <si>
    <t>India risk free rate</t>
  </si>
  <si>
    <t>%</t>
  </si>
  <si>
    <t>Equity risk premium</t>
  </si>
  <si>
    <t>Beta</t>
  </si>
  <si>
    <t>x</t>
  </si>
  <si>
    <t>Cost of Equity</t>
  </si>
  <si>
    <t>Target debt to Equity</t>
  </si>
  <si>
    <t>Terminal growth rate</t>
  </si>
  <si>
    <t>Discounting factor</t>
  </si>
  <si>
    <t>PV of FCF</t>
  </si>
  <si>
    <t>Terminal Value</t>
  </si>
  <si>
    <t>Enterprise value</t>
  </si>
  <si>
    <t>FCF</t>
  </si>
  <si>
    <t>Net Debt</t>
  </si>
  <si>
    <t>Net debt</t>
  </si>
  <si>
    <t>Equity value</t>
  </si>
  <si>
    <t>shares outstanding (Mn)</t>
  </si>
  <si>
    <t>Equity value/ share</t>
  </si>
  <si>
    <t>Current share price of paytm</t>
  </si>
  <si>
    <t>&gt;&gt;&gt;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</si>
</sst>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_);\(0\)"/>
    <numFmt numFmtId="166" formatCode="_(* #,##0_);_(* \(#,##0\);_(* &quot;-&quot;??_);_(@_)"/>
    <numFmt numFmtId="167" formatCode="0.0"/>
    <numFmt numFmtId="168" formatCode="_(* #,##0_);* \(#,##0\);_(* &quot;-&quot;_)"/>
    <numFmt numFmtId="169" formatCode="0.0%"/>
    <numFmt numFmtId="170" formatCode="#,##0.000_);\(#,##0.000\)"/>
    <numFmt numFmtId="171" formatCode="#,##0_);\(#,##0\);;____@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4" tint="0.3999755851924192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0"/>
      <name val="Helvetica"/>
      <family val="2"/>
    </font>
    <font>
      <sz val="8"/>
      <color rgb="FFC00000"/>
      <name val="Arial"/>
      <family val="2"/>
    </font>
    <font>
      <sz val="9"/>
      <name val="Tahoma"/>
      <family val="2"/>
    </font>
    <font>
      <b/>
      <sz val="8"/>
      <color rgb="FFFF0000"/>
      <name val="Arial"/>
      <family val="2"/>
    </font>
    <font>
      <sz val="8"/>
      <color rgb="FF00B0F0"/>
      <name val="Arial"/>
      <family val="2"/>
    </font>
    <font>
      <b/>
      <u/>
      <sz val="8"/>
      <name val="Arial"/>
      <family val="2"/>
    </font>
    <font>
      <b/>
      <sz val="10"/>
      <color rgb="FF00B0F0"/>
      <name val="Arial Narrow"/>
      <family val="2"/>
    </font>
    <font>
      <sz val="10"/>
      <name val="Arial Narrow"/>
      <family val="2"/>
    </font>
    <font>
      <sz val="11"/>
      <color rgb="FF00B0F0"/>
      <name val="Aptos Narrow"/>
      <family val="2"/>
      <scheme val="minor"/>
    </font>
    <font>
      <b/>
      <sz val="10"/>
      <name val="Arial"/>
      <family val="2"/>
    </font>
    <font>
      <i/>
      <sz val="11"/>
      <color theme="5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rgb="FF00B0F0"/>
      <name val="Arial"/>
      <family val="2"/>
    </font>
    <font>
      <i/>
      <sz val="8"/>
      <name val="Arial"/>
      <family val="2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3333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3333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2" fillId="0" borderId="0"/>
    <xf numFmtId="0" fontId="3" fillId="0" borderId="0"/>
  </cellStyleXfs>
  <cellXfs count="216">
    <xf numFmtId="0" fontId="0" fillId="0" borderId="0" xfId="0"/>
    <xf numFmtId="165" fontId="4" fillId="2" borderId="1" xfId="3" quotePrefix="1" applyNumberFormat="1" applyFont="1" applyFill="1" applyBorder="1" applyAlignment="1">
      <alignment horizontal="right"/>
    </xf>
    <xf numFmtId="165" fontId="4" fillId="2" borderId="0" xfId="3" quotePrefix="1" applyNumberFormat="1" applyFont="1" applyFill="1" applyAlignment="1">
      <alignment horizontal="right"/>
    </xf>
    <xf numFmtId="165" fontId="4" fillId="2" borderId="2" xfId="3" quotePrefix="1" applyNumberFormat="1" applyFont="1" applyFill="1" applyBorder="1" applyAlignment="1">
      <alignment horizontal="right"/>
    </xf>
    <xf numFmtId="165" fontId="4" fillId="0" borderId="0" xfId="3" quotePrefix="1" applyNumberFormat="1" applyFont="1" applyFill="1" applyAlignment="1">
      <alignment horizontal="right"/>
    </xf>
    <xf numFmtId="37" fontId="5" fillId="0" borderId="0" xfId="0" applyNumberFormat="1" applyFont="1" applyAlignment="1">
      <alignment horizontal="left" indent="1"/>
    </xf>
    <xf numFmtId="0" fontId="2" fillId="0" borderId="0" xfId="0" applyFont="1"/>
    <xf numFmtId="0" fontId="7" fillId="0" borderId="0" xfId="0" applyFont="1"/>
    <xf numFmtId="37" fontId="6" fillId="0" borderId="3" xfId="0" applyNumberFormat="1" applyFont="1" applyBorder="1" applyAlignment="1">
      <alignment horizontal="left" indent="1"/>
    </xf>
    <xf numFmtId="0" fontId="2" fillId="0" borderId="3" xfId="0" applyFont="1" applyBorder="1"/>
    <xf numFmtId="1" fontId="0" fillId="0" borderId="3" xfId="0" applyNumberFormat="1" applyBorder="1"/>
    <xf numFmtId="166" fontId="0" fillId="0" borderId="3" xfId="0" applyNumberFormat="1" applyBorder="1"/>
    <xf numFmtId="0" fontId="8" fillId="3" borderId="0" xfId="0" applyFont="1" applyFill="1"/>
    <xf numFmtId="1" fontId="0" fillId="0" borderId="0" xfId="0" applyNumberFormat="1"/>
    <xf numFmtId="168" fontId="9" fillId="0" borderId="0" xfId="3" applyNumberFormat="1" applyFont="1"/>
    <xf numFmtId="168" fontId="10" fillId="0" borderId="0" xfId="3" applyNumberFormat="1" applyFont="1"/>
    <xf numFmtId="0" fontId="11" fillId="0" borderId="0" xfId="0" applyFont="1"/>
    <xf numFmtId="168" fontId="9" fillId="0" borderId="0" xfId="4" applyNumberFormat="1" applyFont="1"/>
    <xf numFmtId="168" fontId="10" fillId="0" borderId="0" xfId="4" applyNumberFormat="1" applyFont="1"/>
    <xf numFmtId="37" fontId="13" fillId="0" borderId="0" xfId="3" applyNumberFormat="1" applyFont="1"/>
    <xf numFmtId="37" fontId="13" fillId="0" borderId="2" xfId="0" applyNumberFormat="1" applyFont="1" applyBorder="1"/>
    <xf numFmtId="37" fontId="10" fillId="0" borderId="0" xfId="3" applyNumberFormat="1" applyFont="1"/>
    <xf numFmtId="37" fontId="10" fillId="0" borderId="2" xfId="3" applyNumberFormat="1" applyFont="1" applyBorder="1"/>
    <xf numFmtId="0" fontId="11" fillId="0" borderId="2" xfId="0" applyFont="1" applyBorder="1"/>
    <xf numFmtId="0" fontId="0" fillId="0" borderId="0" xfId="0" applyAlignment="1">
      <alignment horizontal="center"/>
    </xf>
    <xf numFmtId="168" fontId="15" fillId="0" borderId="0" xfId="3" applyNumberFormat="1" applyFont="1" applyFill="1"/>
    <xf numFmtId="0" fontId="0" fillId="5" borderId="0" xfId="0" applyFill="1"/>
    <xf numFmtId="0" fontId="2" fillId="5" borderId="0" xfId="0" applyFont="1" applyFill="1"/>
    <xf numFmtId="37" fontId="16" fillId="0" borderId="0" xfId="3" applyNumberFormat="1" applyFont="1"/>
    <xf numFmtId="37" fontId="16" fillId="0" borderId="2" xfId="0" applyNumberFormat="1" applyFont="1" applyBorder="1"/>
    <xf numFmtId="166" fontId="16" fillId="0" borderId="2" xfId="1" applyNumberFormat="1" applyFont="1" applyBorder="1"/>
    <xf numFmtId="166" fontId="16" fillId="0" borderId="2" xfId="0" applyNumberFormat="1" applyFont="1" applyBorder="1"/>
    <xf numFmtId="37" fontId="16" fillId="0" borderId="0" xfId="3" applyNumberFormat="1" applyFont="1" applyAlignment="1">
      <alignment horizontal="right"/>
    </xf>
    <xf numFmtId="37" fontId="16" fillId="4" borderId="0" xfId="3" applyNumberFormat="1" applyFont="1" applyFill="1"/>
    <xf numFmtId="37" fontId="10" fillId="0" borderId="0" xfId="3" applyNumberFormat="1" applyFont="1" applyFill="1"/>
    <xf numFmtId="37" fontId="16" fillId="0" borderId="2" xfId="3" applyNumberFormat="1" applyFont="1" applyBorder="1"/>
    <xf numFmtId="0" fontId="0" fillId="0" borderId="0" xfId="0" applyBorder="1"/>
    <xf numFmtId="0" fontId="17" fillId="0" borderId="0" xfId="3" applyFont="1"/>
    <xf numFmtId="0" fontId="9" fillId="0" borderId="0" xfId="3" applyFont="1" applyAlignment="1">
      <alignment horizontal="left" indent="1"/>
    </xf>
    <xf numFmtId="2" fontId="0" fillId="0" borderId="0" xfId="0" applyNumberFormat="1"/>
    <xf numFmtId="37" fontId="16" fillId="0" borderId="0" xfId="0" applyNumberFormat="1" applyFont="1" applyBorder="1"/>
    <xf numFmtId="37" fontId="0" fillId="0" borderId="0" xfId="0" applyNumberFormat="1"/>
    <xf numFmtId="9" fontId="0" fillId="0" borderId="0" xfId="2" applyFont="1"/>
    <xf numFmtId="37" fontId="2" fillId="0" borderId="0" xfId="0" applyNumberFormat="1" applyFont="1"/>
    <xf numFmtId="37" fontId="11" fillId="0" borderId="2" xfId="0" applyNumberFormat="1" applyFont="1" applyBorder="1"/>
    <xf numFmtId="166" fontId="0" fillId="0" borderId="0" xfId="0" applyNumberFormat="1"/>
    <xf numFmtId="0" fontId="2" fillId="3" borderId="0" xfId="0" applyFont="1" applyFill="1"/>
    <xf numFmtId="0" fontId="6" fillId="0" borderId="0" xfId="0" applyFont="1"/>
    <xf numFmtId="166" fontId="18" fillId="0" borderId="2" xfId="1" applyNumberFormat="1" applyFont="1" applyBorder="1"/>
    <xf numFmtId="166" fontId="18" fillId="0" borderId="0" xfId="1" applyNumberFormat="1" applyFont="1" applyBorder="1"/>
    <xf numFmtId="0" fontId="5" fillId="0" borderId="2" xfId="0" applyFont="1" applyBorder="1"/>
    <xf numFmtId="9" fontId="5" fillId="0" borderId="2" xfId="2" applyFont="1" applyBorder="1"/>
    <xf numFmtId="9" fontId="5" fillId="0" borderId="0" xfId="2" applyFont="1" applyBorder="1"/>
    <xf numFmtId="1" fontId="5" fillId="0" borderId="2" xfId="0" applyNumberFormat="1" applyFont="1" applyBorder="1"/>
    <xf numFmtId="166" fontId="5" fillId="0" borderId="2" xfId="1" applyNumberFormat="1" applyFont="1" applyBorder="1"/>
    <xf numFmtId="166" fontId="5" fillId="0" borderId="0" xfId="1" applyNumberFormat="1" applyFont="1" applyBorder="1"/>
    <xf numFmtId="9" fontId="19" fillId="0" borderId="0" xfId="2" applyFont="1" applyBorder="1"/>
    <xf numFmtId="2" fontId="5" fillId="0" borderId="2" xfId="1" applyNumberFormat="1" applyFont="1" applyBorder="1"/>
    <xf numFmtId="168" fontId="21" fillId="0" borderId="0" xfId="3" applyNumberFormat="1" applyFont="1" applyAlignment="1">
      <alignment horizontal="left"/>
    </xf>
    <xf numFmtId="0" fontId="2" fillId="0" borderId="4" xfId="0" applyFont="1" applyBorder="1"/>
    <xf numFmtId="0" fontId="7" fillId="0" borderId="5" xfId="0" applyFont="1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7" fillId="0" borderId="0" xfId="0" applyFont="1" applyBorder="1"/>
    <xf numFmtId="37" fontId="5" fillId="0" borderId="1" xfId="0" applyNumberFormat="1" applyFont="1" applyBorder="1" applyAlignment="1">
      <alignment horizontal="left" indent="1"/>
    </xf>
    <xf numFmtId="9" fontId="0" fillId="0" borderId="0" xfId="2" applyFont="1" applyBorder="1"/>
    <xf numFmtId="0" fontId="0" fillId="0" borderId="5" xfId="0" applyBorder="1"/>
    <xf numFmtId="0" fontId="0" fillId="0" borderId="9" xfId="0" applyBorder="1"/>
    <xf numFmtId="0" fontId="2" fillId="0" borderId="10" xfId="0" applyFont="1" applyBorder="1"/>
    <xf numFmtId="0" fontId="2" fillId="0" borderId="6" xfId="0" applyFont="1" applyBorder="1"/>
    <xf numFmtId="9" fontId="0" fillId="0" borderId="0" xfId="0" applyNumberFormat="1" applyBorder="1"/>
    <xf numFmtId="9" fontId="0" fillId="0" borderId="2" xfId="0" applyNumberFormat="1" applyBorder="1"/>
    <xf numFmtId="1" fontId="0" fillId="0" borderId="0" xfId="0" applyNumberFormat="1" applyBorder="1"/>
    <xf numFmtId="1" fontId="0" fillId="0" borderId="2" xfId="0" applyNumberFormat="1" applyBorder="1"/>
    <xf numFmtId="10" fontId="0" fillId="0" borderId="0" xfId="2" applyNumberFormat="1" applyFont="1" applyBorder="1"/>
    <xf numFmtId="10" fontId="0" fillId="0" borderId="0" xfId="0" applyNumberFormat="1" applyBorder="1"/>
    <xf numFmtId="10" fontId="0" fillId="0" borderId="2" xfId="0" applyNumberFormat="1" applyBorder="1"/>
    <xf numFmtId="0" fontId="0" fillId="0" borderId="1" xfId="0" applyFont="1" applyBorder="1"/>
    <xf numFmtId="0" fontId="0" fillId="0" borderId="11" xfId="0" applyFont="1" applyBorder="1"/>
    <xf numFmtId="9" fontId="0" fillId="0" borderId="7" xfId="2" applyFont="1" applyBorder="1"/>
    <xf numFmtId="9" fontId="0" fillId="0" borderId="7" xfId="0" applyNumberFormat="1" applyBorder="1"/>
    <xf numFmtId="9" fontId="0" fillId="0" borderId="8" xfId="0" applyNumberFormat="1" applyBorder="1"/>
    <xf numFmtId="0" fontId="22" fillId="0" borderId="0" xfId="0" applyFont="1"/>
    <xf numFmtId="9" fontId="11" fillId="0" borderId="0" xfId="2" applyFont="1"/>
    <xf numFmtId="1" fontId="0" fillId="0" borderId="5" xfId="0" applyNumberFormat="1" applyBorder="1"/>
    <xf numFmtId="165" fontId="4" fillId="0" borderId="0" xfId="3" quotePrefix="1" applyNumberFormat="1" applyFont="1" applyBorder="1" applyAlignment="1">
      <alignment horizontal="right"/>
    </xf>
    <xf numFmtId="0" fontId="5" fillId="0" borderId="0" xfId="0" applyFont="1" applyBorder="1"/>
    <xf numFmtId="165" fontId="4" fillId="0" borderId="0" xfId="3" quotePrefix="1" applyNumberFormat="1" applyFont="1" applyFill="1" applyBorder="1" applyAlignment="1">
      <alignment horizontal="right"/>
    </xf>
    <xf numFmtId="166" fontId="5" fillId="0" borderId="0" xfId="2" applyNumberFormat="1" applyFont="1" applyBorder="1"/>
    <xf numFmtId="0" fontId="8" fillId="3" borderId="0" xfId="0" applyFont="1" applyFill="1" applyBorder="1"/>
    <xf numFmtId="165" fontId="4" fillId="2" borderId="0" xfId="3" quotePrefix="1" applyNumberFormat="1" applyFont="1" applyFill="1" applyBorder="1" applyAlignment="1">
      <alignment horizontal="right"/>
    </xf>
    <xf numFmtId="37" fontId="5" fillId="0" borderId="0" xfId="0" applyNumberFormat="1" applyFont="1" applyBorder="1" applyAlignment="1">
      <alignment horizontal="left" indent="1"/>
    </xf>
    <xf numFmtId="1" fontId="0" fillId="0" borderId="0" xfId="0" applyNumberFormat="1" applyFont="1" applyBorder="1"/>
    <xf numFmtId="0" fontId="2" fillId="0" borderId="0" xfId="0" applyFont="1" applyBorder="1"/>
    <xf numFmtId="166" fontId="0" fillId="0" borderId="0" xfId="0" applyNumberFormat="1" applyBorder="1"/>
    <xf numFmtId="9" fontId="1" fillId="0" borderId="0" xfId="2" applyNumberFormat="1" applyFont="1" applyBorder="1"/>
    <xf numFmtId="9" fontId="7" fillId="0" borderId="0" xfId="2" applyNumberFormat="1" applyFont="1" applyBorder="1"/>
    <xf numFmtId="167" fontId="0" fillId="0" borderId="0" xfId="0" applyNumberFormat="1" applyBorder="1"/>
    <xf numFmtId="164" fontId="0" fillId="0" borderId="0" xfId="0" applyNumberFormat="1" applyBorder="1"/>
    <xf numFmtId="0" fontId="23" fillId="0" borderId="0" xfId="0" applyFont="1"/>
    <xf numFmtId="168" fontId="9" fillId="0" borderId="0" xfId="3" applyNumberFormat="1" applyFont="1" applyAlignment="1">
      <alignment horizontal="left" indent="1"/>
    </xf>
    <xf numFmtId="168" fontId="9" fillId="0" borderId="0" xfId="4" applyNumberFormat="1" applyFont="1" applyAlignment="1">
      <alignment horizontal="left" indent="1"/>
    </xf>
    <xf numFmtId="37" fontId="11" fillId="0" borderId="0" xfId="0" applyNumberFormat="1" applyFont="1"/>
    <xf numFmtId="37" fontId="23" fillId="0" borderId="0" xfId="0" applyNumberFormat="1" applyFont="1"/>
    <xf numFmtId="37" fontId="23" fillId="0" borderId="2" xfId="0" applyNumberFormat="1" applyFont="1" applyBorder="1"/>
    <xf numFmtId="37" fontId="24" fillId="0" borderId="0" xfId="3" applyNumberFormat="1" applyFont="1"/>
    <xf numFmtId="37" fontId="24" fillId="0" borderId="2" xfId="0" applyNumberFormat="1" applyFont="1" applyBorder="1"/>
    <xf numFmtId="37" fontId="24" fillId="0" borderId="0" xfId="0" applyNumberFormat="1" applyFont="1"/>
    <xf numFmtId="0" fontId="16" fillId="0" borderId="0" xfId="0" applyFont="1"/>
    <xf numFmtId="0" fontId="16" fillId="0" borderId="2" xfId="0" applyFont="1" applyBorder="1"/>
    <xf numFmtId="166" fontId="24" fillId="0" borderId="2" xfId="0" applyNumberFormat="1" applyFont="1" applyBorder="1"/>
    <xf numFmtId="37" fontId="11" fillId="0" borderId="0" xfId="3" applyNumberFormat="1" applyFont="1"/>
    <xf numFmtId="37" fontId="11" fillId="0" borderId="2" xfId="3" applyNumberFormat="1" applyFont="1" applyBorder="1"/>
    <xf numFmtId="37" fontId="11" fillId="0" borderId="0" xfId="3" applyNumberFormat="1" applyFont="1" applyFill="1" applyBorder="1"/>
    <xf numFmtId="0" fontId="23" fillId="0" borderId="3" xfId="0" applyFont="1" applyBorder="1"/>
    <xf numFmtId="166" fontId="5" fillId="0" borderId="3" xfId="1" applyNumberFormat="1" applyFont="1" applyBorder="1"/>
    <xf numFmtId="166" fontId="5" fillId="0" borderId="6" xfId="1" applyNumberFormat="1" applyFont="1" applyBorder="1"/>
    <xf numFmtId="170" fontId="0" fillId="0" borderId="0" xfId="0" applyNumberFormat="1"/>
    <xf numFmtId="0" fontId="0" fillId="0" borderId="0" xfId="0" applyFill="1"/>
    <xf numFmtId="165" fontId="4" fillId="0" borderId="2" xfId="3" quotePrefix="1" applyNumberFormat="1" applyFont="1" applyFill="1" applyBorder="1" applyAlignment="1">
      <alignment horizontal="right"/>
    </xf>
    <xf numFmtId="168" fontId="9" fillId="0" borderId="0" xfId="3" applyNumberFormat="1" applyFont="1" applyFill="1"/>
    <xf numFmtId="9" fontId="0" fillId="0" borderId="0" xfId="2" applyFont="1" applyFill="1"/>
    <xf numFmtId="1" fontId="20" fillId="0" borderId="0" xfId="0" applyNumberFormat="1" applyFont="1"/>
    <xf numFmtId="1" fontId="2" fillId="0" borderId="0" xfId="0" applyNumberFormat="1" applyFont="1"/>
    <xf numFmtId="166" fontId="2" fillId="0" borderId="3" xfId="0" applyNumberFormat="1" applyFont="1" applyBorder="1"/>
    <xf numFmtId="1" fontId="2" fillId="0" borderId="3" xfId="0" applyNumberFormat="1" applyFont="1" applyBorder="1"/>
    <xf numFmtId="0" fontId="7" fillId="0" borderId="2" xfId="0" applyFont="1" applyBorder="1"/>
    <xf numFmtId="9" fontId="1" fillId="0" borderId="2" xfId="2" applyNumberFormat="1" applyFont="1" applyBorder="1"/>
    <xf numFmtId="166" fontId="2" fillId="0" borderId="6" xfId="0" applyNumberFormat="1" applyFont="1" applyBorder="1"/>
    <xf numFmtId="167" fontId="0" fillId="0" borderId="2" xfId="0" applyNumberFormat="1" applyBorder="1"/>
    <xf numFmtId="164" fontId="0" fillId="0" borderId="2" xfId="0" applyNumberFormat="1" applyBorder="1"/>
    <xf numFmtId="0" fontId="7" fillId="0" borderId="1" xfId="0" applyFont="1" applyBorder="1"/>
    <xf numFmtId="9" fontId="1" fillId="0" borderId="1" xfId="2" applyNumberFormat="1" applyFont="1" applyBorder="1"/>
    <xf numFmtId="166" fontId="2" fillId="0" borderId="12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1" fontId="0" fillId="0" borderId="2" xfId="0" applyNumberFormat="1" applyFont="1" applyBorder="1"/>
    <xf numFmtId="166" fontId="0" fillId="0" borderId="2" xfId="0" applyNumberFormat="1" applyBorder="1"/>
    <xf numFmtId="9" fontId="7" fillId="0" borderId="2" xfId="2" applyNumberFormat="1" applyFont="1" applyBorder="1"/>
    <xf numFmtId="1" fontId="0" fillId="0" borderId="1" xfId="0" applyNumberFormat="1" applyBorder="1"/>
    <xf numFmtId="1" fontId="0" fillId="0" borderId="1" xfId="0" applyNumberFormat="1" applyFont="1" applyBorder="1"/>
    <xf numFmtId="166" fontId="5" fillId="0" borderId="1" xfId="1" applyNumberFormat="1" applyFont="1" applyBorder="1"/>
    <xf numFmtId="166" fontId="0" fillId="0" borderId="1" xfId="0" applyNumberFormat="1" applyBorder="1"/>
    <xf numFmtId="9" fontId="7" fillId="0" borderId="1" xfId="2" applyNumberFormat="1" applyFont="1" applyBorder="1"/>
    <xf numFmtId="1" fontId="5" fillId="0" borderId="0" xfId="0" applyNumberFormat="1" applyFont="1" applyBorder="1"/>
    <xf numFmtId="169" fontId="0" fillId="0" borderId="0" xfId="2" applyNumberFormat="1" applyFont="1" applyBorder="1"/>
    <xf numFmtId="169" fontId="0" fillId="0" borderId="2" xfId="2" applyNumberFormat="1" applyFont="1" applyBorder="1"/>
    <xf numFmtId="0" fontId="7" fillId="0" borderId="9" xfId="0" applyFont="1" applyBorder="1"/>
    <xf numFmtId="9" fontId="0" fillId="0" borderId="2" xfId="2" applyFont="1" applyBorder="1"/>
    <xf numFmtId="10" fontId="0" fillId="0" borderId="2" xfId="2" applyNumberFormat="1" applyFont="1" applyBorder="1"/>
    <xf numFmtId="9" fontId="0" fillId="0" borderId="8" xfId="2" applyFont="1" applyBorder="1"/>
    <xf numFmtId="0" fontId="2" fillId="0" borderId="12" xfId="0" applyFont="1" applyBorder="1"/>
    <xf numFmtId="1" fontId="2" fillId="0" borderId="6" xfId="0" applyNumberFormat="1" applyFont="1" applyBorder="1"/>
    <xf numFmtId="1" fontId="2" fillId="0" borderId="12" xfId="0" applyNumberFormat="1" applyFont="1" applyBorder="1"/>
    <xf numFmtId="1" fontId="0" fillId="0" borderId="9" xfId="0" applyNumberFormat="1" applyBorder="1"/>
    <xf numFmtId="166" fontId="18" fillId="0" borderId="1" xfId="1" applyNumberFormat="1" applyFont="1" applyBorder="1"/>
    <xf numFmtId="9" fontId="5" fillId="0" borderId="1" xfId="2" applyFont="1" applyBorder="1"/>
    <xf numFmtId="1" fontId="5" fillId="0" borderId="1" xfId="0" applyNumberFormat="1" applyFont="1" applyBorder="1"/>
    <xf numFmtId="169" fontId="0" fillId="0" borderId="1" xfId="2" applyNumberFormat="1" applyFont="1" applyBorder="1"/>
    <xf numFmtId="0" fontId="7" fillId="0" borderId="10" xfId="0" applyFont="1" applyBorder="1"/>
    <xf numFmtId="9" fontId="0" fillId="0" borderId="1" xfId="2" applyFont="1" applyBorder="1"/>
    <xf numFmtId="0" fontId="0" fillId="0" borderId="10" xfId="0" applyBorder="1"/>
    <xf numFmtId="10" fontId="0" fillId="0" borderId="1" xfId="2" applyNumberFormat="1" applyFont="1" applyBorder="1"/>
    <xf numFmtId="9" fontId="0" fillId="0" borderId="11" xfId="2" applyFont="1" applyBorder="1"/>
    <xf numFmtId="10" fontId="5" fillId="0" borderId="0" xfId="2" applyNumberFormat="1" applyFont="1" applyBorder="1"/>
    <xf numFmtId="9" fontId="20" fillId="0" borderId="2" xfId="2" applyFont="1" applyBorder="1"/>
    <xf numFmtId="9" fontId="19" fillId="0" borderId="1" xfId="2" applyFont="1" applyBorder="1"/>
    <xf numFmtId="169" fontId="20" fillId="0" borderId="2" xfId="0" applyNumberFormat="1" applyFont="1" applyBorder="1"/>
    <xf numFmtId="9" fontId="20" fillId="0" borderId="1" xfId="2" applyFont="1" applyBorder="1"/>
    <xf numFmtId="9" fontId="20" fillId="0" borderId="0" xfId="2" applyFont="1" applyBorder="1"/>
    <xf numFmtId="169" fontId="20" fillId="0" borderId="1" xfId="0" applyNumberFormat="1" applyFont="1" applyBorder="1"/>
    <xf numFmtId="169" fontId="20" fillId="0" borderId="0" xfId="0" applyNumberFormat="1" applyFont="1" applyBorder="1"/>
    <xf numFmtId="1" fontId="0" fillId="0" borderId="10" xfId="0" applyNumberFormat="1" applyBorder="1"/>
    <xf numFmtId="10" fontId="0" fillId="0" borderId="1" xfId="0" applyNumberFormat="1" applyBorder="1"/>
    <xf numFmtId="9" fontId="0" fillId="0" borderId="1" xfId="0" applyNumberFormat="1" applyBorder="1"/>
    <xf numFmtId="9" fontId="0" fillId="0" borderId="11" xfId="0" applyNumberFormat="1" applyBorder="1"/>
    <xf numFmtId="37" fontId="10" fillId="0" borderId="0" xfId="3" applyNumberFormat="1" applyFont="1" applyBorder="1"/>
    <xf numFmtId="37" fontId="11" fillId="0" borderId="0" xfId="0" applyNumberFormat="1" applyFont="1" applyBorder="1"/>
    <xf numFmtId="166" fontId="11" fillId="0" borderId="0" xfId="1" applyNumberFormat="1" applyFont="1" applyBorder="1"/>
    <xf numFmtId="37" fontId="0" fillId="0" borderId="0" xfId="0" applyNumberFormat="1" applyBorder="1"/>
    <xf numFmtId="37" fontId="10" fillId="0" borderId="2" xfId="3" applyNumberFormat="1" applyFont="1" applyFill="1" applyBorder="1"/>
    <xf numFmtId="0" fontId="9" fillId="0" borderId="0" xfId="5" applyFont="1" applyBorder="1" applyAlignment="1">
      <alignment vertical="center"/>
    </xf>
    <xf numFmtId="0" fontId="9" fillId="0" borderId="0" xfId="5" quotePrefix="1" applyFont="1" applyBorder="1" applyAlignment="1">
      <alignment horizontal="left" vertical="center" indent="1"/>
    </xf>
    <xf numFmtId="171" fontId="25" fillId="0" borderId="0" xfId="5" applyNumberFormat="1" applyFont="1" applyBorder="1" applyAlignment="1">
      <alignment vertical="center"/>
    </xf>
    <xf numFmtId="0" fontId="10" fillId="0" borderId="0" xfId="4" applyFont="1" applyBorder="1" applyAlignment="1">
      <alignment vertical="center"/>
    </xf>
    <xf numFmtId="10" fontId="1" fillId="0" borderId="0" xfId="2" applyNumberFormat="1" applyFont="1" applyBorder="1"/>
    <xf numFmtId="0" fontId="10" fillId="0" borderId="3" xfId="5" applyFont="1" applyBorder="1" applyAlignment="1">
      <alignment vertical="center"/>
    </xf>
    <xf numFmtId="0" fontId="27" fillId="0" borderId="16" xfId="0" applyFont="1" applyBorder="1"/>
    <xf numFmtId="0" fontId="27" fillId="0" borderId="0" xfId="0" applyFont="1"/>
    <xf numFmtId="169" fontId="28" fillId="0" borderId="17" xfId="0" applyNumberFormat="1" applyFont="1" applyBorder="1"/>
    <xf numFmtId="169" fontId="28" fillId="0" borderId="17" xfId="2" applyNumberFormat="1" applyFont="1" applyBorder="1"/>
    <xf numFmtId="164" fontId="28" fillId="0" borderId="17" xfId="1" applyFont="1" applyBorder="1"/>
    <xf numFmtId="0" fontId="29" fillId="0" borderId="16" xfId="0" applyFont="1" applyBorder="1"/>
    <xf numFmtId="0" fontId="29" fillId="0" borderId="0" xfId="0" applyFont="1"/>
    <xf numFmtId="169" fontId="30" fillId="0" borderId="17" xfId="2" applyNumberFormat="1" applyFont="1" applyBorder="1"/>
    <xf numFmtId="169" fontId="27" fillId="0" borderId="17" xfId="0" applyNumberFormat="1" applyFont="1" applyBorder="1"/>
    <xf numFmtId="9" fontId="27" fillId="0" borderId="17" xfId="0" applyNumberFormat="1" applyFont="1" applyBorder="1"/>
    <xf numFmtId="0" fontId="29" fillId="0" borderId="18" xfId="0" applyFont="1" applyBorder="1"/>
    <xf numFmtId="0" fontId="29" fillId="0" borderId="3" xfId="0" applyFont="1" applyBorder="1"/>
    <xf numFmtId="169" fontId="29" fillId="0" borderId="19" xfId="0" applyNumberFormat="1" applyFont="1" applyBorder="1"/>
    <xf numFmtId="0" fontId="29" fillId="0" borderId="20" xfId="0" applyFont="1" applyBorder="1"/>
    <xf numFmtId="0" fontId="29" fillId="0" borderId="21" xfId="0" applyFont="1" applyBorder="1"/>
    <xf numFmtId="169" fontId="31" fillId="0" borderId="22" xfId="0" applyNumberFormat="1" applyFont="1" applyBorder="1"/>
    <xf numFmtId="0" fontId="26" fillId="6" borderId="13" xfId="0" applyFont="1" applyFill="1" applyBorder="1" applyAlignment="1">
      <alignment vertical="center"/>
    </xf>
    <xf numFmtId="0" fontId="26" fillId="6" borderId="14" xfId="0" applyFont="1" applyFill="1" applyBorder="1" applyAlignment="1">
      <alignment vertical="center"/>
    </xf>
    <xf numFmtId="0" fontId="26" fillId="6" borderId="15" xfId="0" applyFont="1" applyFill="1" applyBorder="1" applyAlignment="1">
      <alignment vertical="center"/>
    </xf>
    <xf numFmtId="9" fontId="0" fillId="0" borderId="0" xfId="2" applyFont="1" applyFill="1" applyBorder="1"/>
    <xf numFmtId="0" fontId="2" fillId="6" borderId="10" xfId="0" applyFont="1" applyFill="1" applyBorder="1"/>
    <xf numFmtId="0" fontId="0" fillId="6" borderId="9" xfId="0" applyFill="1" applyBorder="1"/>
    <xf numFmtId="0" fontId="2" fillId="0" borderId="2" xfId="0" applyFont="1" applyBorder="1"/>
    <xf numFmtId="37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37" fontId="2" fillId="0" borderId="2" xfId="0" applyNumberFormat="1" applyFont="1" applyBorder="1"/>
    <xf numFmtId="1" fontId="2" fillId="5" borderId="6" xfId="0" applyNumberFormat="1" applyFont="1" applyFill="1" applyBorder="1"/>
  </cellXfs>
  <cellStyles count="6">
    <cellStyle name="Comma" xfId="1" builtinId="3"/>
    <cellStyle name="Normal" xfId="0" builtinId="0"/>
    <cellStyle name="Normal 2" xfId="4" xr:uid="{CA79D1B4-43DE-4B7B-975A-8C02C30FBAE1}"/>
    <cellStyle name="Normal_E-Ton_021808" xfId="3" xr:uid="{E7262739-6AE7-4407-A050-AB697C52F9F0}"/>
    <cellStyle name="Normal_Standard Template_reduced" xfId="5" xr:uid="{1663DFB0-6975-4B39-B4DE-4CD5A742E91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5825-36BC-455D-968D-121AF2E9619A}">
  <dimension ref="B3:AH49"/>
  <sheetViews>
    <sheetView workbookViewId="0">
      <pane xSplit="2" ySplit="3" topLeftCell="G4" activePane="bottomRight" state="frozen"/>
      <selection pane="bottomLeft" activeCell="A4" sqref="A4"/>
      <selection pane="topRight" activeCell="C1" sqref="C1"/>
      <selection pane="bottomRight" activeCell="M15" sqref="M15"/>
    </sheetView>
  </sheetViews>
  <sheetFormatPr defaultRowHeight="15"/>
  <cols>
    <col min="2" max="2" width="27.57421875" bestFit="1" customWidth="1"/>
    <col min="3" max="3" width="6.58984375" bestFit="1" customWidth="1"/>
    <col min="4" max="10" width="7.12890625" bestFit="1" customWidth="1"/>
    <col min="11" max="11" width="6.58984375" bestFit="1" customWidth="1"/>
    <col min="12" max="12" width="6.9921875" bestFit="1" customWidth="1"/>
    <col min="13" max="21" width="6.58984375" bestFit="1" customWidth="1"/>
    <col min="22" max="22" width="7.12890625" bestFit="1" customWidth="1"/>
    <col min="23" max="24" width="6.58984375" bestFit="1" customWidth="1"/>
    <col min="25" max="25" width="6.9921875" bestFit="1" customWidth="1"/>
    <col min="26" max="26" width="8.47265625" bestFit="1" customWidth="1"/>
    <col min="27" max="30" width="7.3984375" bestFit="1" customWidth="1"/>
    <col min="31" max="34" width="8.33984375" bestFit="1" customWidth="1"/>
  </cols>
  <sheetData>
    <row r="3" spans="2:34">
      <c r="B3" s="46"/>
      <c r="C3" s="1" t="s">
        <v>0</v>
      </c>
      <c r="D3" s="2" t="s">
        <v>1</v>
      </c>
      <c r="E3" s="2" t="s">
        <v>2</v>
      </c>
      <c r="F3" s="3" t="s">
        <v>3</v>
      </c>
      <c r="G3" s="2" t="s">
        <v>4</v>
      </c>
      <c r="H3" s="2" t="s">
        <v>5</v>
      </c>
      <c r="I3" s="2" t="s">
        <v>6</v>
      </c>
      <c r="J3" s="3" t="s">
        <v>7</v>
      </c>
      <c r="K3" s="2" t="s">
        <v>8</v>
      </c>
      <c r="L3" s="2" t="s">
        <v>9</v>
      </c>
      <c r="M3" s="2" t="s">
        <v>10</v>
      </c>
      <c r="N3" s="3" t="s">
        <v>11</v>
      </c>
      <c r="O3" s="2" t="s">
        <v>12</v>
      </c>
      <c r="P3" s="2" t="s">
        <v>13</v>
      </c>
      <c r="Q3" s="2" t="s">
        <v>14</v>
      </c>
      <c r="R3" s="3" t="s">
        <v>15</v>
      </c>
      <c r="S3" s="2" t="s">
        <v>16</v>
      </c>
      <c r="T3" s="2" t="s">
        <v>17</v>
      </c>
      <c r="U3" s="2" t="s">
        <v>18</v>
      </c>
      <c r="V3" s="3" t="s">
        <v>19</v>
      </c>
      <c r="W3" s="2" t="s">
        <v>20</v>
      </c>
      <c r="X3" s="2" t="s">
        <v>21</v>
      </c>
      <c r="Y3" s="2" t="s">
        <v>22</v>
      </c>
      <c r="Z3" s="3" t="s">
        <v>23</v>
      </c>
      <c r="AA3" s="2" t="s">
        <v>24</v>
      </c>
      <c r="AB3" s="2" t="s">
        <v>25</v>
      </c>
      <c r="AC3" s="2" t="s">
        <v>26</v>
      </c>
      <c r="AD3" s="3" t="s">
        <v>27</v>
      </c>
      <c r="AE3" s="2" t="s">
        <v>28</v>
      </c>
      <c r="AF3" s="2" t="s">
        <v>29</v>
      </c>
      <c r="AG3" s="2" t="s">
        <v>30</v>
      </c>
      <c r="AH3" s="3" t="s">
        <v>31</v>
      </c>
    </row>
    <row r="4" spans="2:34">
      <c r="B4" s="47" t="s">
        <v>119</v>
      </c>
      <c r="C4" s="49">
        <v>697</v>
      </c>
      <c r="D4" s="49">
        <v>947</v>
      </c>
      <c r="E4" s="49">
        <v>1121</v>
      </c>
      <c r="F4" s="48">
        <v>1268</v>
      </c>
      <c r="G4" s="156">
        <v>1469</v>
      </c>
      <c r="H4" s="49">
        <v>1956</v>
      </c>
      <c r="I4" s="49">
        <v>2500</v>
      </c>
      <c r="J4" s="48">
        <v>2590</v>
      </c>
      <c r="K4" s="156">
        <v>2960</v>
      </c>
      <c r="L4" s="49">
        <v>3180</v>
      </c>
      <c r="M4" s="49">
        <v>3460</v>
      </c>
      <c r="N4" s="48">
        <v>3620</v>
      </c>
      <c r="O4" s="156">
        <v>4050</v>
      </c>
      <c r="P4" s="49">
        <v>4500</v>
      </c>
      <c r="Q4" s="49">
        <v>5100</v>
      </c>
      <c r="R4" s="48">
        <v>4690</v>
      </c>
      <c r="S4" s="156">
        <v>4260</v>
      </c>
      <c r="T4" s="49">
        <v>4500</v>
      </c>
      <c r="U4" s="49">
        <v>5040</v>
      </c>
      <c r="V4" s="48">
        <v>5100</v>
      </c>
      <c r="W4" s="156">
        <v>5400</v>
      </c>
      <c r="X4" s="49">
        <v>5700</v>
      </c>
      <c r="Y4" s="49">
        <v>6200</v>
      </c>
      <c r="Z4" s="74">
        <f>(Z8*Z12)/1000</f>
        <v>6283.6958333333323</v>
      </c>
      <c r="AA4" s="140">
        <f t="shared" ref="AA4:AH4" si="0">(AA8*AA12)/1000</f>
        <v>6602.9755135135119</v>
      </c>
      <c r="AB4" s="73">
        <f t="shared" si="0"/>
        <v>7014.4142543999988</v>
      </c>
      <c r="AC4" s="73">
        <f t="shared" si="0"/>
        <v>7679.9092355999974</v>
      </c>
      <c r="AD4" s="74">
        <f t="shared" si="0"/>
        <v>7821.9256217066968</v>
      </c>
      <c r="AE4" s="140">
        <f t="shared" si="0"/>
        <v>8219.3640046474702</v>
      </c>
      <c r="AF4" s="73">
        <f t="shared" si="0"/>
        <v>8731.5217084037267</v>
      </c>
      <c r="AG4" s="73">
        <f t="shared" si="0"/>
        <v>9559.9278538686231</v>
      </c>
      <c r="AH4" s="74">
        <f t="shared" si="0"/>
        <v>9736.7094229728209</v>
      </c>
    </row>
    <row r="5" spans="2:34">
      <c r="B5" s="5" t="s">
        <v>120</v>
      </c>
      <c r="C5" s="87"/>
      <c r="D5" s="87"/>
      <c r="E5" s="87"/>
      <c r="F5" s="50"/>
      <c r="G5" s="157">
        <f t="shared" ref="G5:AH5" si="1">+G4/C4-1</f>
        <v>1.1076040172166426</v>
      </c>
      <c r="H5" s="52">
        <f t="shared" si="1"/>
        <v>1.0654699049630412</v>
      </c>
      <c r="I5" s="52">
        <f t="shared" si="1"/>
        <v>1.2301516503122212</v>
      </c>
      <c r="J5" s="51">
        <f t="shared" si="1"/>
        <v>1.0425867507886437</v>
      </c>
      <c r="K5" s="157">
        <f t="shared" si="1"/>
        <v>1.0149761742682095</v>
      </c>
      <c r="L5" s="52">
        <f t="shared" si="1"/>
        <v>0.62576687116564411</v>
      </c>
      <c r="M5" s="52">
        <f t="shared" si="1"/>
        <v>0.3839999999999999</v>
      </c>
      <c r="N5" s="51">
        <f t="shared" si="1"/>
        <v>0.39768339768339778</v>
      </c>
      <c r="O5" s="157">
        <f t="shared" si="1"/>
        <v>0.3682432432432432</v>
      </c>
      <c r="P5" s="52">
        <f t="shared" si="1"/>
        <v>0.41509433962264142</v>
      </c>
      <c r="Q5" s="52">
        <f t="shared" si="1"/>
        <v>0.47398843930635848</v>
      </c>
      <c r="R5" s="51">
        <f t="shared" si="1"/>
        <v>0.29558011049723754</v>
      </c>
      <c r="S5" s="157">
        <f t="shared" si="1"/>
        <v>5.1851851851851816E-2</v>
      </c>
      <c r="T5" s="52">
        <f t="shared" si="1"/>
        <v>0</v>
      </c>
      <c r="U5" s="52">
        <f t="shared" si="1"/>
        <v>-1.1764705882352899E-2</v>
      </c>
      <c r="V5" s="51">
        <f t="shared" si="1"/>
        <v>8.7420042643923335E-2</v>
      </c>
      <c r="W5" s="157">
        <f t="shared" si="1"/>
        <v>0.26760563380281699</v>
      </c>
      <c r="X5" s="52">
        <f t="shared" si="1"/>
        <v>0.26666666666666661</v>
      </c>
      <c r="Y5" s="52">
        <f t="shared" si="1"/>
        <v>0.23015873015873023</v>
      </c>
      <c r="Z5" s="51">
        <f t="shared" si="1"/>
        <v>0.23209722222222195</v>
      </c>
      <c r="AA5" s="157">
        <f t="shared" si="1"/>
        <v>0.22277324324324299</v>
      </c>
      <c r="AB5" s="52">
        <f t="shared" si="1"/>
        <v>0.23059899199999978</v>
      </c>
      <c r="AC5" s="52">
        <f t="shared" si="1"/>
        <v>0.23869503799999947</v>
      </c>
      <c r="AD5" s="51">
        <f t="shared" si="1"/>
        <v>0.24479698399999972</v>
      </c>
      <c r="AE5" s="157">
        <f t="shared" si="1"/>
        <v>0.24479698399999994</v>
      </c>
      <c r="AF5" s="52">
        <f t="shared" si="1"/>
        <v>0.24479698399999994</v>
      </c>
      <c r="AG5" s="52">
        <f t="shared" si="1"/>
        <v>0.24479698400000016</v>
      </c>
      <c r="AH5" s="51">
        <f t="shared" si="1"/>
        <v>0.24479698399999994</v>
      </c>
    </row>
    <row r="6" spans="2:34">
      <c r="B6" s="5" t="s">
        <v>121</v>
      </c>
      <c r="C6" s="87"/>
      <c r="D6" s="52">
        <f t="shared" ref="D6:AH6" si="2">D4/C4-1</f>
        <v>0.35868005738880915</v>
      </c>
      <c r="E6" s="52">
        <f t="shared" si="2"/>
        <v>0.18373812038014781</v>
      </c>
      <c r="F6" s="51">
        <f t="shared" si="2"/>
        <v>0.13113291703835861</v>
      </c>
      <c r="G6" s="157">
        <f t="shared" si="2"/>
        <v>0.15851735015772861</v>
      </c>
      <c r="H6" s="52">
        <f t="shared" si="2"/>
        <v>0.33151803948264136</v>
      </c>
      <c r="I6" s="52">
        <f t="shared" si="2"/>
        <v>0.27811860940695299</v>
      </c>
      <c r="J6" s="51">
        <f t="shared" si="2"/>
        <v>3.6000000000000032E-2</v>
      </c>
      <c r="K6" s="157">
        <f t="shared" si="2"/>
        <v>0.14285714285714279</v>
      </c>
      <c r="L6" s="52">
        <f t="shared" si="2"/>
        <v>7.4324324324324342E-2</v>
      </c>
      <c r="M6" s="52">
        <f t="shared" si="2"/>
        <v>8.8050314465408785E-2</v>
      </c>
      <c r="N6" s="51">
        <f t="shared" si="2"/>
        <v>4.6242774566473965E-2</v>
      </c>
      <c r="O6" s="157">
        <f t="shared" si="2"/>
        <v>0.11878453038674031</v>
      </c>
      <c r="P6" s="52">
        <f t="shared" si="2"/>
        <v>0.11111111111111116</v>
      </c>
      <c r="Q6" s="52">
        <f t="shared" si="2"/>
        <v>0.1333333333333333</v>
      </c>
      <c r="R6" s="51">
        <f t="shared" si="2"/>
        <v>-8.0392156862745145E-2</v>
      </c>
      <c r="S6" s="157">
        <f t="shared" si="2"/>
        <v>-9.1684434968017037E-2</v>
      </c>
      <c r="T6" s="52">
        <f t="shared" si="2"/>
        <v>5.6338028169014009E-2</v>
      </c>
      <c r="U6" s="52">
        <f t="shared" si="2"/>
        <v>0.12000000000000011</v>
      </c>
      <c r="V6" s="51">
        <f t="shared" si="2"/>
        <v>1.1904761904761862E-2</v>
      </c>
      <c r="W6" s="157">
        <f t="shared" si="2"/>
        <v>5.8823529411764719E-2</v>
      </c>
      <c r="X6" s="52">
        <f t="shared" si="2"/>
        <v>5.555555555555558E-2</v>
      </c>
      <c r="Y6" s="52">
        <f t="shared" si="2"/>
        <v>8.7719298245614086E-2</v>
      </c>
      <c r="Z6" s="51">
        <f t="shared" si="2"/>
        <v>1.3499327956989049E-2</v>
      </c>
      <c r="AA6" s="157">
        <f t="shared" si="2"/>
        <v>5.0810810810810736E-2</v>
      </c>
      <c r="AB6" s="52">
        <f t="shared" si="2"/>
        <v>6.2311111111111206E-2</v>
      </c>
      <c r="AC6" s="52">
        <f t="shared" si="2"/>
        <v>9.4875346260387738E-2</v>
      </c>
      <c r="AD6" s="51">
        <f t="shared" si="2"/>
        <v>1.8491935483870847E-2</v>
      </c>
      <c r="AE6" s="157">
        <f t="shared" si="2"/>
        <v>5.0810810810810958E-2</v>
      </c>
      <c r="AF6" s="52">
        <f t="shared" si="2"/>
        <v>6.2311111111111206E-2</v>
      </c>
      <c r="AG6" s="52">
        <f t="shared" si="2"/>
        <v>9.4875346260387738E-2</v>
      </c>
      <c r="AH6" s="51">
        <f t="shared" si="2"/>
        <v>1.8491935483870847E-2</v>
      </c>
    </row>
    <row r="7" spans="2:34">
      <c r="C7" s="36"/>
      <c r="D7" s="36"/>
      <c r="E7" s="36"/>
      <c r="F7" s="62"/>
      <c r="G7" s="61"/>
      <c r="H7" s="36"/>
      <c r="I7" s="36"/>
      <c r="J7" s="62"/>
      <c r="K7" s="61"/>
      <c r="L7" s="36"/>
      <c r="M7" s="36"/>
      <c r="N7" s="62"/>
      <c r="O7" s="61"/>
      <c r="P7" s="36"/>
      <c r="Q7" s="36"/>
      <c r="R7" s="62"/>
      <c r="S7" s="61"/>
      <c r="T7" s="36"/>
      <c r="U7" s="36"/>
      <c r="V7" s="62"/>
      <c r="W7" s="61"/>
      <c r="X7" s="36"/>
      <c r="Y7" s="36"/>
      <c r="Z7" s="74"/>
      <c r="AA7" s="140"/>
      <c r="AB7" s="73"/>
      <c r="AC7" s="73"/>
      <c r="AD7" s="74"/>
      <c r="AE7" s="140"/>
      <c r="AF7" s="73"/>
      <c r="AG7" s="73"/>
      <c r="AH7" s="74"/>
    </row>
    <row r="8" spans="2:34">
      <c r="B8" s="58" t="s">
        <v>122</v>
      </c>
      <c r="C8" s="145">
        <v>39.799999999999997</v>
      </c>
      <c r="D8" s="145">
        <v>43.1</v>
      </c>
      <c r="E8" s="145">
        <v>47.1</v>
      </c>
      <c r="F8" s="53">
        <v>50.4</v>
      </c>
      <c r="G8" s="158">
        <v>50.4</v>
      </c>
      <c r="H8" s="145">
        <v>57.4</v>
      </c>
      <c r="I8" s="145">
        <v>64.400000000000006</v>
      </c>
      <c r="J8" s="53">
        <v>70.900000000000006</v>
      </c>
      <c r="K8" s="158">
        <v>74.8</v>
      </c>
      <c r="L8" s="145">
        <v>79.7</v>
      </c>
      <c r="M8" s="145">
        <v>84.9</v>
      </c>
      <c r="N8" s="53">
        <v>89</v>
      </c>
      <c r="O8" s="158">
        <v>92</v>
      </c>
      <c r="P8" s="145">
        <v>95</v>
      </c>
      <c r="Q8" s="145">
        <v>100</v>
      </c>
      <c r="R8" s="53">
        <v>96</v>
      </c>
      <c r="S8" s="158">
        <v>78</v>
      </c>
      <c r="T8" s="145">
        <v>71</v>
      </c>
      <c r="U8" s="145">
        <v>70</v>
      </c>
      <c r="V8" s="53">
        <v>72</v>
      </c>
      <c r="W8" s="158">
        <v>74</v>
      </c>
      <c r="X8" s="145">
        <v>75</v>
      </c>
      <c r="Y8" s="145">
        <v>76</v>
      </c>
      <c r="Z8" s="53">
        <f>Y8*(1+Z10)</f>
        <v>77.139999999999986</v>
      </c>
      <c r="AA8" s="158">
        <f t="shared" ref="AA8:AH8" si="3">Z8*(1+AA10)</f>
        <v>78.682799999999986</v>
      </c>
      <c r="AB8" s="145">
        <f t="shared" si="3"/>
        <v>80.256455999999986</v>
      </c>
      <c r="AC8" s="145">
        <f t="shared" si="3"/>
        <v>81.861585119999987</v>
      </c>
      <c r="AD8" s="53">
        <f t="shared" si="3"/>
        <v>83.498816822399988</v>
      </c>
      <c r="AE8" s="158">
        <f t="shared" si="3"/>
        <v>85.16879315884799</v>
      </c>
      <c r="AF8" s="145">
        <f t="shared" si="3"/>
        <v>86.872169022024949</v>
      </c>
      <c r="AG8" s="145">
        <f t="shared" si="3"/>
        <v>88.609612402465444</v>
      </c>
      <c r="AH8" s="53">
        <f t="shared" si="3"/>
        <v>90.381804650514752</v>
      </c>
    </row>
    <row r="9" spans="2:34">
      <c r="B9" s="5" t="s">
        <v>120</v>
      </c>
      <c r="C9" s="87"/>
      <c r="D9" s="87"/>
      <c r="E9" s="87"/>
      <c r="F9" s="50"/>
      <c r="G9" s="157">
        <f t="shared" ref="G9:Y9" si="4">+G8/C8-1</f>
        <v>0.26633165829145744</v>
      </c>
      <c r="H9" s="52">
        <f t="shared" si="4"/>
        <v>0.3317865429234339</v>
      </c>
      <c r="I9" s="52">
        <f t="shared" si="4"/>
        <v>0.36730360934182604</v>
      </c>
      <c r="J9" s="51">
        <f t="shared" si="4"/>
        <v>0.40674603174603186</v>
      </c>
      <c r="K9" s="157">
        <f t="shared" si="4"/>
        <v>0.48412698412698418</v>
      </c>
      <c r="L9" s="52">
        <f t="shared" si="4"/>
        <v>0.38850174216027877</v>
      </c>
      <c r="M9" s="52">
        <f t="shared" si="4"/>
        <v>0.31832298136645965</v>
      </c>
      <c r="N9" s="51">
        <f t="shared" si="4"/>
        <v>0.25528913963328614</v>
      </c>
      <c r="O9" s="157">
        <f t="shared" si="4"/>
        <v>0.22994652406417115</v>
      </c>
      <c r="P9" s="52">
        <f t="shared" si="4"/>
        <v>0.19196988707653695</v>
      </c>
      <c r="Q9" s="52">
        <f t="shared" si="4"/>
        <v>0.17785630153121312</v>
      </c>
      <c r="R9" s="51">
        <f t="shared" si="4"/>
        <v>7.8651685393258397E-2</v>
      </c>
      <c r="S9" s="157">
        <f t="shared" si="4"/>
        <v>-0.15217391304347827</v>
      </c>
      <c r="T9" s="52">
        <f t="shared" si="4"/>
        <v>-0.25263157894736843</v>
      </c>
      <c r="U9" s="52">
        <f t="shared" si="4"/>
        <v>-0.30000000000000004</v>
      </c>
      <c r="V9" s="51">
        <f t="shared" si="4"/>
        <v>-0.25</v>
      </c>
      <c r="W9" s="157">
        <f t="shared" si="4"/>
        <v>-5.1282051282051322E-2</v>
      </c>
      <c r="X9" s="52">
        <f t="shared" si="4"/>
        <v>5.6338028169014009E-2</v>
      </c>
      <c r="Y9" s="52">
        <f t="shared" si="4"/>
        <v>8.5714285714285632E-2</v>
      </c>
      <c r="Z9" s="51"/>
      <c r="AA9" s="157"/>
      <c r="AB9" s="52"/>
      <c r="AC9" s="52"/>
      <c r="AD9" s="51"/>
      <c r="AE9" s="157"/>
      <c r="AF9" s="52"/>
      <c r="AG9" s="52"/>
      <c r="AH9" s="51"/>
    </row>
    <row r="10" spans="2:34">
      <c r="B10" s="5" t="s">
        <v>121</v>
      </c>
      <c r="C10" s="36"/>
      <c r="D10" s="52">
        <f t="shared" ref="D10" si="5">D8/C8-1</f>
        <v>8.2914572864321689E-2</v>
      </c>
      <c r="E10" s="52">
        <f t="shared" ref="E10" si="6">E8/D8-1</f>
        <v>9.2807424593967625E-2</v>
      </c>
      <c r="F10" s="51">
        <f t="shared" ref="F10" si="7">F8/E8-1</f>
        <v>7.0063694267515908E-2</v>
      </c>
      <c r="G10" s="157">
        <f t="shared" ref="G10" si="8">G8/F8-1</f>
        <v>0</v>
      </c>
      <c r="H10" s="52">
        <f t="shared" ref="H10" si="9">H8/G8-1</f>
        <v>0.13888888888888884</v>
      </c>
      <c r="I10" s="52">
        <f t="shared" ref="I10" si="10">I8/H8-1</f>
        <v>0.12195121951219523</v>
      </c>
      <c r="J10" s="51">
        <f t="shared" ref="J10" si="11">J8/I8-1</f>
        <v>0.10093167701863348</v>
      </c>
      <c r="K10" s="157">
        <f t="shared" ref="K10" si="12">K8/J8-1</f>
        <v>5.500705218617763E-2</v>
      </c>
      <c r="L10" s="52">
        <f t="shared" ref="L10" si="13">L8/K8-1</f>
        <v>6.5508021390374482E-2</v>
      </c>
      <c r="M10" s="52">
        <f t="shared" ref="M10" si="14">M8/L8-1</f>
        <v>6.5244667503136844E-2</v>
      </c>
      <c r="N10" s="51">
        <f t="shared" ref="N10" si="15">N8/M8-1</f>
        <v>4.829210836277964E-2</v>
      </c>
      <c r="O10" s="157">
        <f t="shared" ref="O10" si="16">O8/N8-1</f>
        <v>3.3707865168539408E-2</v>
      </c>
      <c r="P10" s="52">
        <f t="shared" ref="P10" si="17">P8/O8-1</f>
        <v>3.2608695652173836E-2</v>
      </c>
      <c r="Q10" s="52">
        <f t="shared" ref="Q10" si="18">Q8/P8-1</f>
        <v>5.2631578947368363E-2</v>
      </c>
      <c r="R10" s="51">
        <f t="shared" ref="R10" si="19">R8/Q8-1</f>
        <v>-4.0000000000000036E-2</v>
      </c>
      <c r="S10" s="157">
        <f t="shared" ref="S10" si="20">S8/R8-1</f>
        <v>-0.1875</v>
      </c>
      <c r="T10" s="52">
        <f t="shared" ref="T10" si="21">T8/S8-1</f>
        <v>-8.9743589743589758E-2</v>
      </c>
      <c r="U10" s="52">
        <f t="shared" ref="U10" si="22">U8/T8-1</f>
        <v>-1.4084507042253502E-2</v>
      </c>
      <c r="V10" s="51">
        <f t="shared" ref="V10" si="23">V8/U8-1</f>
        <v>2.857142857142847E-2</v>
      </c>
      <c r="W10" s="157">
        <f t="shared" ref="W10" si="24">W8/V8-1</f>
        <v>2.7777777777777679E-2</v>
      </c>
      <c r="X10" s="52">
        <f t="shared" ref="X10" si="25">X8/W8-1</f>
        <v>1.3513513513513598E-2</v>
      </c>
      <c r="Y10" s="165">
        <f t="shared" ref="Y10" si="26">Y8/X8-1</f>
        <v>1.3333333333333419E-2</v>
      </c>
      <c r="Z10" s="166">
        <v>1.4999999999999999E-2</v>
      </c>
      <c r="AA10" s="169">
        <v>0.02</v>
      </c>
      <c r="AB10" s="170">
        <v>0.02</v>
      </c>
      <c r="AC10" s="170">
        <v>0.02</v>
      </c>
      <c r="AD10" s="166">
        <v>0.02</v>
      </c>
      <c r="AE10" s="169">
        <v>0.02</v>
      </c>
      <c r="AF10" s="170">
        <v>0.02</v>
      </c>
      <c r="AG10" s="170">
        <v>0.02</v>
      </c>
      <c r="AH10" s="166">
        <v>0.02</v>
      </c>
    </row>
    <row r="11" spans="2:34">
      <c r="C11" s="36"/>
      <c r="D11" s="36"/>
      <c r="E11" s="36"/>
      <c r="F11" s="62"/>
      <c r="G11" s="61"/>
      <c r="H11" s="36"/>
      <c r="I11" s="36"/>
      <c r="J11" s="62"/>
      <c r="K11" s="61"/>
      <c r="L11" s="36"/>
      <c r="M11" s="36"/>
      <c r="N11" s="62"/>
      <c r="O11" s="61"/>
      <c r="P11" s="36"/>
      <c r="Q11" s="36"/>
      <c r="R11" s="62"/>
      <c r="S11" s="61"/>
      <c r="T11" s="36"/>
      <c r="U11" s="36"/>
      <c r="V11" s="62"/>
      <c r="W11" s="61"/>
      <c r="X11" s="36"/>
      <c r="Y11" s="36"/>
      <c r="Z11" s="74"/>
      <c r="AA11" s="140"/>
      <c r="AB11" s="73"/>
      <c r="AC11" s="73"/>
      <c r="AD11" s="74"/>
      <c r="AE11" s="140"/>
      <c r="AF11" s="73"/>
      <c r="AG11" s="73"/>
      <c r="AH11" s="74"/>
    </row>
    <row r="12" spans="2:34">
      <c r="B12" s="58" t="s">
        <v>123</v>
      </c>
      <c r="C12" s="55">
        <f t="shared" ref="C12:Y12" si="27">C4*1000/C8</f>
        <v>17512.562814070352</v>
      </c>
      <c r="D12" s="55">
        <f t="shared" si="27"/>
        <v>21972.157772621809</v>
      </c>
      <c r="E12" s="55">
        <f t="shared" si="27"/>
        <v>23800.424628450106</v>
      </c>
      <c r="F12" s="54">
        <f t="shared" si="27"/>
        <v>25158.730158730159</v>
      </c>
      <c r="G12" s="142">
        <f t="shared" si="27"/>
        <v>29146.825396825399</v>
      </c>
      <c r="H12" s="55">
        <f t="shared" si="27"/>
        <v>34076.65505226481</v>
      </c>
      <c r="I12" s="55">
        <f t="shared" si="27"/>
        <v>38819.875776397515</v>
      </c>
      <c r="J12" s="54">
        <f t="shared" si="27"/>
        <v>36530.324400564175</v>
      </c>
      <c r="K12" s="142">
        <f t="shared" si="27"/>
        <v>39572.192513368987</v>
      </c>
      <c r="L12" s="55">
        <f t="shared" si="27"/>
        <v>39899.623588456714</v>
      </c>
      <c r="M12" s="55">
        <f t="shared" si="27"/>
        <v>40753.828032979975</v>
      </c>
      <c r="N12" s="54">
        <f t="shared" si="27"/>
        <v>40674.15730337079</v>
      </c>
      <c r="O12" s="142">
        <f t="shared" si="27"/>
        <v>44021.739130434784</v>
      </c>
      <c r="P12" s="55">
        <f t="shared" si="27"/>
        <v>47368.42105263158</v>
      </c>
      <c r="Q12" s="55">
        <f t="shared" si="27"/>
        <v>51000</v>
      </c>
      <c r="R12" s="54">
        <f t="shared" si="27"/>
        <v>48854.166666666664</v>
      </c>
      <c r="S12" s="142">
        <f t="shared" si="27"/>
        <v>54615.384615384617</v>
      </c>
      <c r="T12" s="55">
        <f t="shared" si="27"/>
        <v>63380.281690140844</v>
      </c>
      <c r="U12" s="55">
        <f t="shared" si="27"/>
        <v>72000</v>
      </c>
      <c r="V12" s="57">
        <f t="shared" si="27"/>
        <v>70833.333333333328</v>
      </c>
      <c r="W12" s="142">
        <f t="shared" si="27"/>
        <v>72972.972972972973</v>
      </c>
      <c r="X12" s="55">
        <f t="shared" si="27"/>
        <v>76000</v>
      </c>
      <c r="Y12" s="55">
        <f t="shared" si="27"/>
        <v>81578.947368421053</v>
      </c>
      <c r="Z12" s="74">
        <f>V12*(1+Z13)</f>
        <v>81458.333333333328</v>
      </c>
      <c r="AA12" s="140">
        <f>W12*(1+AA13)</f>
        <v>83918.91891891892</v>
      </c>
      <c r="AB12" s="73">
        <f t="shared" ref="AB12:AH12" si="28">X12*(1+AB13)</f>
        <v>87400</v>
      </c>
      <c r="AC12" s="73">
        <f t="shared" si="28"/>
        <v>93815.789473684199</v>
      </c>
      <c r="AD12" s="74">
        <f t="shared" si="28"/>
        <v>93677.083333333314</v>
      </c>
      <c r="AE12" s="140">
        <f t="shared" si="28"/>
        <v>96506.756756756746</v>
      </c>
      <c r="AF12" s="73">
        <f t="shared" si="28"/>
        <v>100509.99999999999</v>
      </c>
      <c r="AG12" s="73">
        <f t="shared" si="28"/>
        <v>107888.15789473683</v>
      </c>
      <c r="AH12" s="74">
        <f t="shared" si="28"/>
        <v>107728.6458333333</v>
      </c>
    </row>
    <row r="13" spans="2:34">
      <c r="B13" s="5" t="s">
        <v>120</v>
      </c>
      <c r="C13" s="87"/>
      <c r="D13" s="87"/>
      <c r="E13" s="87"/>
      <c r="F13" s="50"/>
      <c r="G13" s="157">
        <f t="shared" ref="G13:Y13" si="29">+G12/C12-1</f>
        <v>0.66433809296076163</v>
      </c>
      <c r="H13" s="52">
        <f t="shared" si="29"/>
        <v>0.55090161853496666</v>
      </c>
      <c r="I13" s="52">
        <f t="shared" si="29"/>
        <v>0.63105811692089464</v>
      </c>
      <c r="J13" s="51">
        <f t="shared" si="29"/>
        <v>0.45199396671012182</v>
      </c>
      <c r="K13" s="157">
        <f t="shared" si="29"/>
        <v>0.35768448105772421</v>
      </c>
      <c r="L13" s="52">
        <f t="shared" si="29"/>
        <v>0.17087852452833086</v>
      </c>
      <c r="M13" s="52">
        <f t="shared" si="29"/>
        <v>4.9818610129564123E-2</v>
      </c>
      <c r="N13" s="51">
        <f t="shared" si="29"/>
        <v>0.11343542579497634</v>
      </c>
      <c r="O13" s="157">
        <f t="shared" si="29"/>
        <v>0.11244124559341939</v>
      </c>
      <c r="P13" s="52">
        <f t="shared" si="29"/>
        <v>0.18718967229394234</v>
      </c>
      <c r="Q13" s="52">
        <f t="shared" si="29"/>
        <v>0.2514161849710983</v>
      </c>
      <c r="R13" s="51">
        <f t="shared" si="29"/>
        <v>0.20111072744014713</v>
      </c>
      <c r="S13" s="157">
        <f t="shared" si="29"/>
        <v>0.24064577397910725</v>
      </c>
      <c r="T13" s="52">
        <f t="shared" si="29"/>
        <v>0.3380281690140845</v>
      </c>
      <c r="U13" s="52">
        <f t="shared" si="29"/>
        <v>0.41176470588235303</v>
      </c>
      <c r="V13" s="51">
        <f t="shared" si="29"/>
        <v>0.44989339019189756</v>
      </c>
      <c r="W13" s="167">
        <f t="shared" si="29"/>
        <v>0.33612485725161778</v>
      </c>
      <c r="X13" s="56">
        <f t="shared" si="29"/>
        <v>0.19911111111111124</v>
      </c>
      <c r="Y13" s="56">
        <f t="shared" si="29"/>
        <v>0.13304093567251463</v>
      </c>
      <c r="Z13" s="166">
        <v>0.15</v>
      </c>
      <c r="AA13" s="169">
        <v>0.15</v>
      </c>
      <c r="AB13" s="170">
        <v>0.15</v>
      </c>
      <c r="AC13" s="170">
        <v>0.15</v>
      </c>
      <c r="AD13" s="166">
        <v>0.15</v>
      </c>
      <c r="AE13" s="169">
        <v>0.15</v>
      </c>
      <c r="AF13" s="170">
        <v>0.15</v>
      </c>
      <c r="AG13" s="170">
        <v>0.15</v>
      </c>
      <c r="AH13" s="166">
        <v>0.15</v>
      </c>
    </row>
    <row r="14" spans="2:34">
      <c r="C14" s="36"/>
      <c r="D14" s="36"/>
      <c r="E14" s="36"/>
      <c r="F14" s="62"/>
      <c r="G14" s="61"/>
      <c r="H14" s="36"/>
      <c r="I14" s="36"/>
      <c r="J14" s="62"/>
      <c r="K14" s="61"/>
      <c r="L14" s="36"/>
      <c r="M14" s="36"/>
      <c r="N14" s="62"/>
      <c r="O14" s="61"/>
      <c r="P14" s="36"/>
      <c r="Q14" s="36"/>
      <c r="R14" s="62"/>
      <c r="S14" s="61"/>
      <c r="T14" s="36"/>
      <c r="U14" s="36"/>
      <c r="V14" s="62"/>
      <c r="W14" s="61"/>
      <c r="X14" s="36"/>
      <c r="Y14" s="36"/>
      <c r="Z14" s="62"/>
      <c r="AA14" s="61"/>
      <c r="AB14" s="36"/>
      <c r="AC14" s="36"/>
      <c r="AD14" s="62"/>
      <c r="AE14" s="61"/>
      <c r="AF14" s="36"/>
      <c r="AG14" s="36"/>
      <c r="AH14" s="62"/>
    </row>
    <row r="15" spans="2:34">
      <c r="B15" s="6" t="s">
        <v>124</v>
      </c>
      <c r="C15" s="146">
        <f>IS!C4/('Revenue &amp; Cost'!C4*1000)</f>
        <v>5.8307030129124823E-3</v>
      </c>
      <c r="D15" s="146">
        <f>IS!D4/('Revenue &amp; Cost'!D4*1000)</f>
        <v>4.9894403379091871E-3</v>
      </c>
      <c r="E15" s="146">
        <f>IS!E4/('Revenue &amp; Cost'!E4*1000)</f>
        <v>4.6681534344335416E-3</v>
      </c>
      <c r="F15" s="147">
        <f>IS!F4/('Revenue &amp; Cost'!F4*1000)</f>
        <v>4.563091482649842E-3</v>
      </c>
      <c r="G15" s="159">
        <f>IS!G4/('Revenue &amp; Cost'!G4*1000)</f>
        <v>4.3192648059904694E-3</v>
      </c>
      <c r="H15" s="146">
        <f>IS!H4/('Revenue &amp; Cost'!H4*1000)</f>
        <v>3.8542944785276072E-3</v>
      </c>
      <c r="I15" s="146">
        <f>IS!I4/('Revenue &amp; Cost'!I4*1000)</f>
        <v>3.9664000000000001E-3</v>
      </c>
      <c r="J15" s="147">
        <f>IS!J4/('Revenue &amp; Cost'!J4*1000)</f>
        <v>4.0173745173745171E-3</v>
      </c>
      <c r="K15" s="159">
        <f>IS!K4/('Revenue &amp; Cost'!K4*1000)</f>
        <v>3.6351351351351351E-3</v>
      </c>
      <c r="L15" s="146">
        <f>IS!L4/('Revenue &amp; Cost'!L4*1000)</f>
        <v>3.688679245283019E-3</v>
      </c>
      <c r="M15" s="146">
        <f>IS!M4/('Revenue &amp; Cost'!M4*1000)</f>
        <v>3.3323699421965317E-3</v>
      </c>
      <c r="N15" s="147">
        <f>IS!N4/('Revenue &amp; Cost'!N4*1000)</f>
        <v>3.9834254143646412E-3</v>
      </c>
      <c r="O15" s="159">
        <f>IS!O4/('Revenue &amp; Cost'!O4*1000)</f>
        <v>3.4469135802469137E-3</v>
      </c>
      <c r="P15" s="146">
        <f>IS!P4/('Revenue &amp; Cost'!P4*1000)</f>
        <v>3.3346666666666668E-3</v>
      </c>
      <c r="Q15" s="146">
        <f>IS!Q4/('Revenue &amp; Cost'!Q4*1000)</f>
        <v>3.2921568627450981E-3</v>
      </c>
      <c r="R15" s="147">
        <f>IS!R4/('Revenue &amp; Cost'!R4*1000)</f>
        <v>3.3155650319829423E-3</v>
      </c>
      <c r="S15" s="159">
        <f>IS!S4/('Revenue &amp; Cost'!S4*1000)</f>
        <v>2.0751173708920189E-3</v>
      </c>
      <c r="T15" s="146">
        <f>IS!T4/('Revenue &amp; Cost'!T4*1000)</f>
        <v>2.1022222222222223E-3</v>
      </c>
      <c r="U15" s="146">
        <f>IS!U4/('Revenue &amp; Cost'!U4*1000)</f>
        <v>1.9900793650793652E-3</v>
      </c>
      <c r="V15" s="147">
        <f>IS!V4/('Revenue &amp; Cost'!V4*1000)</f>
        <v>2.0509803921568625E-3</v>
      </c>
      <c r="W15" s="159">
        <f>IS!W4/('Revenue &amp; Cost'!W4*1000)</f>
        <v>1.9333333333333333E-3</v>
      </c>
      <c r="X15" s="146">
        <f>IS!X4/('Revenue &amp; Cost'!X4*1000)</f>
        <v>2.0105263157894739E-3</v>
      </c>
      <c r="Y15" s="146">
        <f>IS!Y4/('Revenue &amp; Cost'!Y4*1000)</f>
        <v>1.9225806451612904E-3</v>
      </c>
      <c r="Z15" s="168">
        <f>Y15</f>
        <v>1.9225806451612904E-3</v>
      </c>
      <c r="AA15" s="171">
        <f t="shared" ref="AA15:AH15" si="30">Z15</f>
        <v>1.9225806451612904E-3</v>
      </c>
      <c r="AB15" s="172">
        <f t="shared" si="30"/>
        <v>1.9225806451612904E-3</v>
      </c>
      <c r="AC15" s="172">
        <f t="shared" si="30"/>
        <v>1.9225806451612904E-3</v>
      </c>
      <c r="AD15" s="168">
        <f t="shared" si="30"/>
        <v>1.9225806451612904E-3</v>
      </c>
      <c r="AE15" s="171">
        <f t="shared" si="30"/>
        <v>1.9225806451612904E-3</v>
      </c>
      <c r="AF15" s="172">
        <f t="shared" si="30"/>
        <v>1.9225806451612904E-3</v>
      </c>
      <c r="AG15" s="172">
        <f t="shared" si="30"/>
        <v>1.9225806451612904E-3</v>
      </c>
      <c r="AH15" s="168">
        <f t="shared" si="30"/>
        <v>1.9225806451612904E-3</v>
      </c>
    </row>
    <row r="16" spans="2:34">
      <c r="C16" s="36"/>
      <c r="D16" s="36"/>
      <c r="E16" s="36"/>
      <c r="F16" s="62"/>
      <c r="G16" s="61"/>
      <c r="H16" s="36"/>
      <c r="I16" s="36"/>
      <c r="J16" s="62"/>
      <c r="K16" s="61"/>
      <c r="L16" s="36"/>
      <c r="M16" s="36"/>
      <c r="N16" s="62"/>
      <c r="O16" s="61"/>
      <c r="P16" s="36"/>
      <c r="Q16" s="36"/>
      <c r="R16" s="62"/>
      <c r="S16" s="61"/>
      <c r="T16" s="36"/>
      <c r="U16" s="36"/>
      <c r="V16" s="62"/>
      <c r="W16" s="61"/>
      <c r="X16" s="36"/>
      <c r="Y16" s="36"/>
      <c r="Z16" s="62"/>
      <c r="AA16" s="61"/>
      <c r="AB16" s="36"/>
      <c r="AC16" s="36"/>
      <c r="AD16" s="62"/>
      <c r="AE16" s="61"/>
      <c r="AF16" s="36"/>
      <c r="AG16" s="36"/>
      <c r="AH16" s="62"/>
    </row>
    <row r="17" spans="2:34">
      <c r="B17" s="69" t="s">
        <v>125</v>
      </c>
      <c r="C17" s="60">
        <v>4064</v>
      </c>
      <c r="D17" s="60">
        <v>4725</v>
      </c>
      <c r="E17" s="60">
        <v>5233</v>
      </c>
      <c r="F17" s="148">
        <v>5786</v>
      </c>
      <c r="G17" s="160">
        <v>6345</v>
      </c>
      <c r="H17" s="60">
        <v>7539</v>
      </c>
      <c r="I17" s="60">
        <v>9916</v>
      </c>
      <c r="J17" s="148">
        <v>10405</v>
      </c>
      <c r="K17" s="160">
        <v>10760</v>
      </c>
      <c r="L17" s="60">
        <v>11730</v>
      </c>
      <c r="M17" s="60">
        <v>11530</v>
      </c>
      <c r="N17" s="148">
        <v>14420</v>
      </c>
      <c r="O17" s="160">
        <v>13960</v>
      </c>
      <c r="P17" s="60">
        <v>15006</v>
      </c>
      <c r="Q17" s="60">
        <v>16790</v>
      </c>
      <c r="R17" s="148">
        <v>15550</v>
      </c>
      <c r="S17" s="160">
        <v>8840</v>
      </c>
      <c r="T17" s="60">
        <v>9460</v>
      </c>
      <c r="U17" s="60">
        <v>10030</v>
      </c>
      <c r="V17" s="148">
        <v>10460</v>
      </c>
      <c r="W17" s="160">
        <v>10440</v>
      </c>
      <c r="X17" s="60">
        <v>11460</v>
      </c>
      <c r="Y17" s="60">
        <v>11920</v>
      </c>
      <c r="Z17" s="155">
        <f>Z4*1000*Z15</f>
        <v>12080.91198924731</v>
      </c>
      <c r="AA17" s="173">
        <f t="shared" ref="AA17:AH17" si="31">AA4*1000*AA15</f>
        <v>12694.752922755011</v>
      </c>
      <c r="AB17" s="85">
        <f t="shared" si="31"/>
        <v>13485.777082652901</v>
      </c>
      <c r="AC17" s="85">
        <f t="shared" si="31"/>
        <v>14765.244852959995</v>
      </c>
      <c r="AD17" s="155">
        <f t="shared" si="31"/>
        <v>15038.282808184489</v>
      </c>
      <c r="AE17" s="173">
        <f t="shared" si="31"/>
        <v>15802.39015087062</v>
      </c>
      <c r="AF17" s="85">
        <f t="shared" si="31"/>
        <v>16787.054639382652</v>
      </c>
      <c r="AG17" s="85">
        <f t="shared" si="31"/>
        <v>18379.732260986126</v>
      </c>
      <c r="AH17" s="155">
        <f t="shared" si="31"/>
        <v>18719.609084167103</v>
      </c>
    </row>
    <row r="18" spans="2:34">
      <c r="B18" s="61"/>
      <c r="C18" s="36"/>
      <c r="D18" s="36"/>
      <c r="E18" s="36"/>
      <c r="F18" s="62"/>
      <c r="G18" s="61"/>
      <c r="H18" s="36"/>
      <c r="I18" s="36"/>
      <c r="J18" s="62"/>
      <c r="K18" s="61"/>
      <c r="L18" s="36"/>
      <c r="M18" s="36"/>
      <c r="N18" s="62"/>
      <c r="O18" s="61"/>
      <c r="P18" s="36"/>
      <c r="Q18" s="36"/>
      <c r="R18" s="62"/>
      <c r="S18" s="61"/>
      <c r="T18" s="36"/>
      <c r="U18" s="36"/>
      <c r="V18" s="62"/>
      <c r="W18" s="61"/>
      <c r="X18" s="36"/>
      <c r="Y18" s="36"/>
      <c r="Z18" s="74"/>
      <c r="AA18" s="140"/>
      <c r="AB18" s="73"/>
      <c r="AC18" s="73"/>
      <c r="AD18" s="74"/>
      <c r="AE18" s="140"/>
      <c r="AF18" s="73"/>
      <c r="AG18" s="73"/>
      <c r="AH18" s="74"/>
    </row>
    <row r="19" spans="2:34">
      <c r="B19" s="63" t="s">
        <v>126</v>
      </c>
      <c r="C19" s="64">
        <v>234</v>
      </c>
      <c r="D19" s="64">
        <v>253</v>
      </c>
      <c r="E19" s="64">
        <v>416</v>
      </c>
      <c r="F19" s="127">
        <v>381</v>
      </c>
      <c r="G19" s="132">
        <v>549</v>
      </c>
      <c r="H19" s="64">
        <v>887</v>
      </c>
      <c r="I19" s="64">
        <v>1252</v>
      </c>
      <c r="J19" s="127">
        <v>1684</v>
      </c>
      <c r="K19" s="132">
        <v>2710</v>
      </c>
      <c r="L19" s="64">
        <v>3490</v>
      </c>
      <c r="M19" s="64">
        <v>4460</v>
      </c>
      <c r="N19" s="127">
        <v>4750</v>
      </c>
      <c r="O19" s="132">
        <v>5220</v>
      </c>
      <c r="P19" s="64">
        <v>5710</v>
      </c>
      <c r="Q19" s="64">
        <v>6070</v>
      </c>
      <c r="R19" s="127">
        <v>3040</v>
      </c>
      <c r="S19" s="132">
        <v>2800</v>
      </c>
      <c r="T19" s="64">
        <v>3760</v>
      </c>
      <c r="U19" s="64">
        <v>5020</v>
      </c>
      <c r="V19" s="127">
        <v>5450</v>
      </c>
      <c r="W19" s="132">
        <v>5605</v>
      </c>
      <c r="X19" s="64">
        <v>6110</v>
      </c>
      <c r="Y19" s="64">
        <v>6720</v>
      </c>
      <c r="Z19" s="74">
        <f>Y19*(1+Z20)</f>
        <v>7390.9001636661205</v>
      </c>
      <c r="AA19" s="140">
        <f t="shared" ref="AA19:AH19" si="32">Z19*(1+AA20)</f>
        <v>8128.7805400714124</v>
      </c>
      <c r="AB19" s="73">
        <f t="shared" si="32"/>
        <v>8940.3281880981813</v>
      </c>
      <c r="AC19" s="73">
        <f t="shared" si="32"/>
        <v>9832.8977780719761</v>
      </c>
      <c r="AD19" s="74">
        <f t="shared" si="32"/>
        <v>10814.578243640537</v>
      </c>
      <c r="AE19" s="140">
        <f t="shared" si="32"/>
        <v>11894.266087931981</v>
      </c>
      <c r="AF19" s="73">
        <f t="shared" si="32"/>
        <v>13081.746008331082</v>
      </c>
      <c r="AG19" s="73">
        <f t="shared" si="32"/>
        <v>14387.779570537621</v>
      </c>
      <c r="AH19" s="74">
        <f t="shared" si="32"/>
        <v>15824.202735517645</v>
      </c>
    </row>
    <row r="20" spans="2:34">
      <c r="B20" s="65" t="s">
        <v>121</v>
      </c>
      <c r="C20" s="36"/>
      <c r="D20" s="66">
        <f>D19/C19-1</f>
        <v>8.119658119658113E-2</v>
      </c>
      <c r="E20" s="66">
        <f t="shared" ref="E20:Y20" si="33">E19/D19-1</f>
        <v>0.64426877470355737</v>
      </c>
      <c r="F20" s="149">
        <f t="shared" si="33"/>
        <v>-8.4134615384615419E-2</v>
      </c>
      <c r="G20" s="161">
        <f t="shared" si="33"/>
        <v>0.44094488188976388</v>
      </c>
      <c r="H20" s="66">
        <f t="shared" si="33"/>
        <v>0.61566484517304199</v>
      </c>
      <c r="I20" s="66">
        <f t="shared" si="33"/>
        <v>0.41149943630214203</v>
      </c>
      <c r="J20" s="149">
        <f t="shared" si="33"/>
        <v>0.34504792332268375</v>
      </c>
      <c r="K20" s="161">
        <f t="shared" si="33"/>
        <v>0.60926365795724458</v>
      </c>
      <c r="L20" s="66">
        <f t="shared" si="33"/>
        <v>0.28782287822878239</v>
      </c>
      <c r="M20" s="66">
        <f t="shared" si="33"/>
        <v>0.27793696275071644</v>
      </c>
      <c r="N20" s="149">
        <f t="shared" si="33"/>
        <v>6.5022421524663754E-2</v>
      </c>
      <c r="O20" s="161">
        <f t="shared" si="33"/>
        <v>9.8947368421052673E-2</v>
      </c>
      <c r="P20" s="66">
        <f t="shared" si="33"/>
        <v>9.3869731800766187E-2</v>
      </c>
      <c r="Q20" s="66">
        <f t="shared" si="33"/>
        <v>6.3047285464097991E-2</v>
      </c>
      <c r="R20" s="149">
        <f t="shared" si="33"/>
        <v>-0.49917627677100496</v>
      </c>
      <c r="S20" s="161">
        <f t="shared" si="33"/>
        <v>-7.8947368421052655E-2</v>
      </c>
      <c r="T20" s="66">
        <f t="shared" si="33"/>
        <v>0.34285714285714275</v>
      </c>
      <c r="U20" s="66">
        <f t="shared" si="33"/>
        <v>0.33510638297872331</v>
      </c>
      <c r="V20" s="149">
        <f t="shared" si="33"/>
        <v>8.5657370517928211E-2</v>
      </c>
      <c r="W20" s="161">
        <f t="shared" si="33"/>
        <v>2.8440366972477094E-2</v>
      </c>
      <c r="X20" s="66">
        <f t="shared" si="33"/>
        <v>9.0098126672613743E-2</v>
      </c>
      <c r="Y20" s="66">
        <f t="shared" si="33"/>
        <v>9.9836333878887018E-2</v>
      </c>
      <c r="Z20" s="149">
        <f>Y20</f>
        <v>9.9836333878887018E-2</v>
      </c>
      <c r="AA20" s="161">
        <f t="shared" ref="AA20:AH20" si="34">Z20</f>
        <v>9.9836333878887018E-2</v>
      </c>
      <c r="AB20" s="66">
        <f t="shared" si="34"/>
        <v>9.9836333878887018E-2</v>
      </c>
      <c r="AC20" s="66">
        <f t="shared" si="34"/>
        <v>9.9836333878887018E-2</v>
      </c>
      <c r="AD20" s="149">
        <f t="shared" si="34"/>
        <v>9.9836333878887018E-2</v>
      </c>
      <c r="AE20" s="161">
        <f t="shared" si="34"/>
        <v>9.9836333878887018E-2</v>
      </c>
      <c r="AF20" s="66">
        <f t="shared" si="34"/>
        <v>9.9836333878887018E-2</v>
      </c>
      <c r="AG20" s="66">
        <f t="shared" si="34"/>
        <v>9.9836333878887018E-2</v>
      </c>
      <c r="AH20" s="149">
        <f t="shared" si="34"/>
        <v>9.9836333878887018E-2</v>
      </c>
    </row>
    <row r="21" spans="2:34">
      <c r="B21" s="65" t="s">
        <v>120</v>
      </c>
      <c r="C21" s="66"/>
      <c r="D21" s="66"/>
      <c r="E21" s="66"/>
      <c r="F21" s="149"/>
      <c r="G21" s="161">
        <f>G19/C19-1</f>
        <v>1.3461538461538463</v>
      </c>
      <c r="H21" s="66">
        <f t="shared" ref="H21:Y21" si="35">H19/D19-1</f>
        <v>2.5059288537549409</v>
      </c>
      <c r="I21" s="66">
        <f t="shared" si="35"/>
        <v>2.0096153846153846</v>
      </c>
      <c r="J21" s="149">
        <f t="shared" si="35"/>
        <v>3.4199475065616802</v>
      </c>
      <c r="K21" s="161">
        <f t="shared" si="35"/>
        <v>3.9362477231329693</v>
      </c>
      <c r="L21" s="66">
        <f t="shared" si="35"/>
        <v>2.9346110484780157</v>
      </c>
      <c r="M21" s="66">
        <f t="shared" si="35"/>
        <v>2.5623003194888181</v>
      </c>
      <c r="N21" s="149">
        <f t="shared" si="35"/>
        <v>1.8206650831353919</v>
      </c>
      <c r="O21" s="161">
        <f t="shared" si="35"/>
        <v>0.92619926199261982</v>
      </c>
      <c r="P21" s="66">
        <f t="shared" si="35"/>
        <v>0.63610315186246424</v>
      </c>
      <c r="Q21" s="66">
        <f t="shared" si="35"/>
        <v>0.36098654708520184</v>
      </c>
      <c r="R21" s="149">
        <f t="shared" si="35"/>
        <v>-0.36</v>
      </c>
      <c r="S21" s="161">
        <f t="shared" si="35"/>
        <v>-0.46360153256704983</v>
      </c>
      <c r="T21" s="66">
        <f t="shared" si="35"/>
        <v>-0.34150612959719795</v>
      </c>
      <c r="U21" s="66">
        <f t="shared" si="35"/>
        <v>-0.17298187808896215</v>
      </c>
      <c r="V21" s="149">
        <f t="shared" si="35"/>
        <v>0.79276315789473695</v>
      </c>
      <c r="W21" s="161">
        <f t="shared" si="35"/>
        <v>1.0017857142857145</v>
      </c>
      <c r="X21" s="66">
        <f t="shared" si="35"/>
        <v>0.625</v>
      </c>
      <c r="Y21" s="66">
        <f t="shared" si="35"/>
        <v>0.33864541832669315</v>
      </c>
      <c r="Z21" s="74"/>
      <c r="AA21" s="140"/>
      <c r="AB21" s="73"/>
      <c r="AC21" s="73"/>
      <c r="AD21" s="74"/>
      <c r="AE21" s="140"/>
      <c r="AF21" s="73"/>
      <c r="AG21" s="73"/>
      <c r="AH21" s="74"/>
    </row>
    <row r="22" spans="2:34">
      <c r="B22" s="61"/>
      <c r="C22" s="36"/>
      <c r="D22" s="36"/>
      <c r="E22" s="36"/>
      <c r="F22" s="62"/>
      <c r="G22" s="61"/>
      <c r="H22" s="36"/>
      <c r="I22" s="36"/>
      <c r="J22" s="62"/>
      <c r="K22" s="61"/>
      <c r="L22" s="36"/>
      <c r="M22" s="36"/>
      <c r="N22" s="62"/>
      <c r="O22" s="61"/>
      <c r="P22" s="36"/>
      <c r="Q22" s="36"/>
      <c r="R22" s="62"/>
      <c r="S22" s="61"/>
      <c r="T22" s="36"/>
      <c r="U22" s="36"/>
      <c r="V22" s="62"/>
      <c r="W22" s="61"/>
      <c r="X22" s="36"/>
      <c r="Y22" s="36"/>
      <c r="Z22" s="74"/>
      <c r="AA22" s="140"/>
      <c r="AB22" s="73"/>
      <c r="AC22" s="73"/>
      <c r="AD22" s="74"/>
      <c r="AE22" s="140"/>
      <c r="AF22" s="73"/>
      <c r="AG22" s="73"/>
      <c r="AH22" s="74"/>
    </row>
    <row r="23" spans="2:34">
      <c r="B23" s="63" t="s">
        <v>127</v>
      </c>
      <c r="C23" s="64">
        <v>1214</v>
      </c>
      <c r="D23" s="64">
        <v>1661</v>
      </c>
      <c r="E23" s="64">
        <v>2071</v>
      </c>
      <c r="F23" s="127">
        <v>1986</v>
      </c>
      <c r="G23" s="132">
        <v>2014</v>
      </c>
      <c r="H23" s="64">
        <v>2438</v>
      </c>
      <c r="I23" s="64">
        <v>3393</v>
      </c>
      <c r="J23" s="127">
        <v>3203</v>
      </c>
      <c r="K23" s="132">
        <v>3329</v>
      </c>
      <c r="L23" s="64">
        <v>3770</v>
      </c>
      <c r="M23" s="64">
        <v>4200</v>
      </c>
      <c r="N23" s="127">
        <v>3930</v>
      </c>
      <c r="O23" s="132">
        <v>4050</v>
      </c>
      <c r="P23" s="64">
        <v>4230</v>
      </c>
      <c r="Q23" s="64">
        <v>5140</v>
      </c>
      <c r="R23" s="127">
        <v>3950</v>
      </c>
      <c r="S23" s="132">
        <v>3210</v>
      </c>
      <c r="T23" s="64">
        <v>3020</v>
      </c>
      <c r="U23" s="64">
        <v>2670</v>
      </c>
      <c r="V23" s="127">
        <v>2670</v>
      </c>
      <c r="W23" s="132">
        <v>2465</v>
      </c>
      <c r="X23" s="64">
        <v>2280</v>
      </c>
      <c r="Y23" s="64">
        <v>2380</v>
      </c>
      <c r="Z23" s="74">
        <f>Y23*(1+Z24)</f>
        <v>2484.3859649122805</v>
      </c>
      <c r="AA23" s="140">
        <f t="shared" ref="AA23:AH23" si="36">Z23*(1+AA24)</f>
        <v>2593.3502616189594</v>
      </c>
      <c r="AB23" s="73">
        <f t="shared" si="36"/>
        <v>2707.0936941461064</v>
      </c>
      <c r="AC23" s="73">
        <f t="shared" si="36"/>
        <v>2825.8258737139176</v>
      </c>
      <c r="AD23" s="74">
        <f t="shared" si="36"/>
        <v>2949.7656050171595</v>
      </c>
      <c r="AE23" s="140">
        <f t="shared" si="36"/>
        <v>3079.1412894477362</v>
      </c>
      <c r="AF23" s="73">
        <f t="shared" si="36"/>
        <v>3214.1913460024612</v>
      </c>
      <c r="AG23" s="73">
        <f t="shared" si="36"/>
        <v>3355.1646506516918</v>
      </c>
      <c r="AH23" s="74">
        <f t="shared" si="36"/>
        <v>3502.32099497852</v>
      </c>
    </row>
    <row r="24" spans="2:34">
      <c r="B24" s="65" t="s">
        <v>121</v>
      </c>
      <c r="C24" s="36"/>
      <c r="D24" s="66">
        <f>D23/C23-1</f>
        <v>0.36820428336079081</v>
      </c>
      <c r="E24" s="66">
        <f t="shared" ref="E24" si="37">E23/D23-1</f>
        <v>0.24683925346177005</v>
      </c>
      <c r="F24" s="149">
        <f t="shared" ref="F24" si="38">F23/E23-1</f>
        <v>-4.1042974408498356E-2</v>
      </c>
      <c r="G24" s="161">
        <f t="shared" ref="G24" si="39">G23/F23-1</f>
        <v>1.4098690835850913E-2</v>
      </c>
      <c r="H24" s="66">
        <f t="shared" ref="H24" si="40">H23/G23-1</f>
        <v>0.21052631578947367</v>
      </c>
      <c r="I24" s="66">
        <f t="shared" ref="I24" si="41">I23/H23-1</f>
        <v>0.39171452009844132</v>
      </c>
      <c r="J24" s="149">
        <f t="shared" ref="J24" si="42">J23/I23-1</f>
        <v>-5.5997642204538733E-2</v>
      </c>
      <c r="K24" s="161">
        <f t="shared" ref="K24" si="43">K23/J23-1</f>
        <v>3.9338120512020014E-2</v>
      </c>
      <c r="L24" s="66">
        <f t="shared" ref="L24" si="44">L23/K23-1</f>
        <v>0.13247221387804142</v>
      </c>
      <c r="M24" s="66">
        <f t="shared" ref="M24" si="45">M23/L23-1</f>
        <v>0.11405835543766574</v>
      </c>
      <c r="N24" s="149">
        <f t="shared" ref="N24" si="46">N23/M23-1</f>
        <v>-6.4285714285714279E-2</v>
      </c>
      <c r="O24" s="161">
        <f t="shared" ref="O24" si="47">O23/N23-1</f>
        <v>3.0534351145038219E-2</v>
      </c>
      <c r="P24" s="66">
        <f t="shared" ref="P24" si="48">P23/O23-1</f>
        <v>4.4444444444444509E-2</v>
      </c>
      <c r="Q24" s="66">
        <f t="shared" ref="Q24" si="49">Q23/P23-1</f>
        <v>0.21513002364066192</v>
      </c>
      <c r="R24" s="149">
        <f t="shared" ref="R24" si="50">R23/Q23-1</f>
        <v>-0.23151750972762641</v>
      </c>
      <c r="S24" s="161">
        <f t="shared" ref="S24" si="51">S23/R23-1</f>
        <v>-0.18734177215189873</v>
      </c>
      <c r="T24" s="66">
        <f t="shared" ref="T24" si="52">T23/S23-1</f>
        <v>-5.9190031152647982E-2</v>
      </c>
      <c r="U24" s="66">
        <f t="shared" ref="U24" si="53">U23/T23-1</f>
        <v>-0.11589403973509937</v>
      </c>
      <c r="V24" s="149">
        <f t="shared" ref="V24" si="54">V23/U23-1</f>
        <v>0</v>
      </c>
      <c r="W24" s="161">
        <f t="shared" ref="W24" si="55">W23/V23-1</f>
        <v>-7.677902621722843E-2</v>
      </c>
      <c r="X24" s="66">
        <f t="shared" ref="X24" si="56">X23/W23-1</f>
        <v>-7.5050709939148086E-2</v>
      </c>
      <c r="Y24" s="66">
        <f t="shared" ref="Y24" si="57">Y23/X23-1</f>
        <v>4.3859649122806932E-2</v>
      </c>
      <c r="Z24" s="149">
        <f>Y24</f>
        <v>4.3859649122806932E-2</v>
      </c>
      <c r="AA24" s="161">
        <f t="shared" ref="AA24:AH24" si="58">Z24</f>
        <v>4.3859649122806932E-2</v>
      </c>
      <c r="AB24" s="66">
        <f t="shared" si="58"/>
        <v>4.3859649122806932E-2</v>
      </c>
      <c r="AC24" s="66">
        <f t="shared" si="58"/>
        <v>4.3859649122806932E-2</v>
      </c>
      <c r="AD24" s="149">
        <f t="shared" si="58"/>
        <v>4.3859649122806932E-2</v>
      </c>
      <c r="AE24" s="161">
        <f t="shared" si="58"/>
        <v>4.3859649122806932E-2</v>
      </c>
      <c r="AF24" s="66">
        <f t="shared" si="58"/>
        <v>4.3859649122806932E-2</v>
      </c>
      <c r="AG24" s="66">
        <f t="shared" si="58"/>
        <v>4.3859649122806932E-2</v>
      </c>
      <c r="AH24" s="149">
        <f t="shared" si="58"/>
        <v>4.3859649122806932E-2</v>
      </c>
    </row>
    <row r="25" spans="2:34">
      <c r="B25" s="65" t="s">
        <v>120</v>
      </c>
      <c r="C25" s="66"/>
      <c r="D25" s="66"/>
      <c r="E25" s="66"/>
      <c r="F25" s="149"/>
      <c r="G25" s="161">
        <f>G23/C23-1</f>
        <v>0.65897858319604619</v>
      </c>
      <c r="H25" s="66">
        <f t="shared" ref="H25" si="59">H23/D23-1</f>
        <v>0.46779048765803743</v>
      </c>
      <c r="I25" s="66">
        <f t="shared" ref="I25" si="60">I23/E23-1</f>
        <v>0.63833896668276191</v>
      </c>
      <c r="J25" s="149">
        <f t="shared" ref="J25" si="61">J23/F23-1</f>
        <v>0.61278952668680775</v>
      </c>
      <c r="K25" s="161">
        <f t="shared" ref="K25" si="62">K23/G23-1</f>
        <v>0.6529294935451837</v>
      </c>
      <c r="L25" s="66">
        <f t="shared" ref="L25" si="63">L23/H23-1</f>
        <v>0.54634946677604601</v>
      </c>
      <c r="M25" s="66">
        <f t="shared" ref="M25" si="64">M23/I23-1</f>
        <v>0.23784261715296195</v>
      </c>
      <c r="N25" s="149">
        <f t="shared" ref="N25" si="65">N23/J23-1</f>
        <v>0.22697471120824231</v>
      </c>
      <c r="O25" s="161">
        <f t="shared" ref="O25" si="66">O23/K23-1</f>
        <v>0.21658155602282969</v>
      </c>
      <c r="P25" s="66">
        <f t="shared" ref="P25" si="67">P23/L23-1</f>
        <v>0.12201591511936338</v>
      </c>
      <c r="Q25" s="66">
        <f t="shared" ref="Q25" si="68">Q23/M23-1</f>
        <v>0.2238095238095239</v>
      </c>
      <c r="R25" s="149">
        <f t="shared" ref="R25" si="69">R23/N23-1</f>
        <v>5.0890585241729624E-3</v>
      </c>
      <c r="S25" s="161">
        <f t="shared" ref="S25" si="70">S23/O23-1</f>
        <v>-0.20740740740740737</v>
      </c>
      <c r="T25" s="66">
        <f t="shared" ref="T25" si="71">T23/P23-1</f>
        <v>-0.28605200945626474</v>
      </c>
      <c r="U25" s="66">
        <f t="shared" ref="U25" si="72">U23/Q23-1</f>
        <v>-0.48054474708171202</v>
      </c>
      <c r="V25" s="149">
        <f t="shared" ref="V25" si="73">V23/R23-1</f>
        <v>-0.32405063291139236</v>
      </c>
      <c r="W25" s="161">
        <f t="shared" ref="W25" si="74">W23/S23-1</f>
        <v>-0.23208722741433019</v>
      </c>
      <c r="X25" s="66">
        <f t="shared" ref="X25" si="75">X23/T23-1</f>
        <v>-0.24503311258278149</v>
      </c>
      <c r="Y25" s="66">
        <f t="shared" ref="Y25" si="76">Y23/U23-1</f>
        <v>-0.10861423220973787</v>
      </c>
      <c r="Z25" s="149">
        <f>Y25</f>
        <v>-0.10861423220973787</v>
      </c>
      <c r="AA25" s="161">
        <f t="shared" ref="AA25:AH25" si="77">Z25</f>
        <v>-0.10861423220973787</v>
      </c>
      <c r="AB25" s="66">
        <f t="shared" si="77"/>
        <v>-0.10861423220973787</v>
      </c>
      <c r="AC25" s="66">
        <f t="shared" si="77"/>
        <v>-0.10861423220973787</v>
      </c>
      <c r="AD25" s="149">
        <f t="shared" si="77"/>
        <v>-0.10861423220973787</v>
      </c>
      <c r="AE25" s="161">
        <f t="shared" si="77"/>
        <v>-0.10861423220973787</v>
      </c>
      <c r="AF25" s="66">
        <f t="shared" si="77"/>
        <v>-0.10861423220973787</v>
      </c>
      <c r="AG25" s="66">
        <f t="shared" si="77"/>
        <v>-0.10861423220973787</v>
      </c>
      <c r="AH25" s="149">
        <f t="shared" si="77"/>
        <v>-0.10861423220973787</v>
      </c>
    </row>
    <row r="26" spans="2:34">
      <c r="B26" s="61"/>
      <c r="C26" s="36"/>
      <c r="D26" s="36"/>
      <c r="E26" s="36"/>
      <c r="F26" s="62"/>
      <c r="G26" s="61"/>
      <c r="H26" s="36"/>
      <c r="I26" s="36"/>
      <c r="J26" s="62"/>
      <c r="K26" s="61"/>
      <c r="L26" s="36"/>
      <c r="M26" s="36"/>
      <c r="N26" s="62"/>
      <c r="O26" s="61"/>
      <c r="P26" s="36"/>
      <c r="Q26" s="36"/>
      <c r="R26" s="62"/>
      <c r="S26" s="61"/>
      <c r="T26" s="36"/>
      <c r="U26" s="36"/>
      <c r="V26" s="62"/>
      <c r="W26" s="61"/>
      <c r="X26" s="36"/>
      <c r="Y26" s="36"/>
      <c r="Z26" s="74"/>
      <c r="AA26" s="140"/>
      <c r="AB26" s="73"/>
      <c r="AC26" s="73"/>
      <c r="AD26" s="74"/>
      <c r="AE26" s="140"/>
      <c r="AF26" s="73"/>
      <c r="AG26" s="73"/>
      <c r="AH26" s="74"/>
    </row>
    <row r="27" spans="2:34">
      <c r="B27" s="63" t="s">
        <v>128</v>
      </c>
      <c r="C27" s="64">
        <v>0</v>
      </c>
      <c r="D27" s="64">
        <v>0</v>
      </c>
      <c r="E27" s="64">
        <v>0</v>
      </c>
      <c r="F27" s="127">
        <v>0</v>
      </c>
      <c r="G27" s="132">
        <v>0</v>
      </c>
      <c r="H27" s="64">
        <v>0</v>
      </c>
      <c r="I27" s="64">
        <v>0</v>
      </c>
      <c r="J27" s="127">
        <v>117</v>
      </c>
      <c r="K27" s="132">
        <v>-3</v>
      </c>
      <c r="L27" s="64">
        <v>150</v>
      </c>
      <c r="M27" s="64">
        <v>432</v>
      </c>
      <c r="N27" s="127">
        <v>245</v>
      </c>
      <c r="O27" s="132">
        <v>186</v>
      </c>
      <c r="P27" s="64">
        <v>240</v>
      </c>
      <c r="Q27" s="64">
        <v>505</v>
      </c>
      <c r="R27" s="127">
        <v>130</v>
      </c>
      <c r="S27" s="132">
        <v>166</v>
      </c>
      <c r="T27" s="64">
        <v>355</v>
      </c>
      <c r="U27" s="64">
        <v>558</v>
      </c>
      <c r="V27" s="127">
        <v>535</v>
      </c>
      <c r="W27" s="132">
        <v>665</v>
      </c>
      <c r="X27" s="64">
        <v>770</v>
      </c>
      <c r="Y27" s="64">
        <v>920</v>
      </c>
      <c r="Z27" s="74">
        <f>Y27*(1+Z28)</f>
        <v>1099.2207792207791</v>
      </c>
      <c r="AA27" s="140">
        <f t="shared" ref="AA27:AH27" si="78">Z27*(1+AA28)</f>
        <v>1313.3546972508011</v>
      </c>
      <c r="AB27" s="73">
        <f t="shared" si="78"/>
        <v>1569.2030148970609</v>
      </c>
      <c r="AC27" s="73">
        <f t="shared" si="78"/>
        <v>1874.8919139029817</v>
      </c>
      <c r="AD27" s="74">
        <f t="shared" si="78"/>
        <v>2240.1305984295363</v>
      </c>
      <c r="AE27" s="140">
        <f t="shared" si="78"/>
        <v>2676.5196760456797</v>
      </c>
      <c r="AF27" s="73">
        <f t="shared" si="78"/>
        <v>3197.9196129376951</v>
      </c>
      <c r="AG27" s="73">
        <f t="shared" si="78"/>
        <v>3820.8909661073758</v>
      </c>
      <c r="AH27" s="74">
        <f t="shared" si="78"/>
        <v>4565.2203750893323</v>
      </c>
    </row>
    <row r="28" spans="2:34">
      <c r="B28" s="65" t="s">
        <v>121</v>
      </c>
      <c r="C28" s="36"/>
      <c r="D28" s="66"/>
      <c r="E28" s="66"/>
      <c r="F28" s="149"/>
      <c r="G28" s="161"/>
      <c r="H28" s="66"/>
      <c r="I28" s="66"/>
      <c r="J28" s="149"/>
      <c r="K28" s="161">
        <f t="shared" ref="K28" si="79">K27/J27-1</f>
        <v>-1.0256410256410255</v>
      </c>
      <c r="L28" s="66">
        <f t="shared" ref="L28" si="80">L27/K27-1</f>
        <v>-51</v>
      </c>
      <c r="M28" s="66">
        <f t="shared" ref="M28" si="81">M27/L27-1</f>
        <v>1.88</v>
      </c>
      <c r="N28" s="149">
        <f t="shared" ref="N28" si="82">N27/M27-1</f>
        <v>-0.43287037037037035</v>
      </c>
      <c r="O28" s="161">
        <f t="shared" ref="O28" si="83">O27/N27-1</f>
        <v>-0.24081632653061225</v>
      </c>
      <c r="P28" s="66">
        <f t="shared" ref="P28" si="84">P27/O27-1</f>
        <v>0.29032258064516125</v>
      </c>
      <c r="Q28" s="66">
        <f t="shared" ref="Q28" si="85">Q27/P27-1</f>
        <v>1.1041666666666665</v>
      </c>
      <c r="R28" s="149">
        <f t="shared" ref="R28" si="86">R27/Q27-1</f>
        <v>-0.74257425742574257</v>
      </c>
      <c r="S28" s="161">
        <f t="shared" ref="S28" si="87">S27/R27-1</f>
        <v>0.27692307692307683</v>
      </c>
      <c r="T28" s="66">
        <f t="shared" ref="T28" si="88">T27/S27-1</f>
        <v>1.1385542168674698</v>
      </c>
      <c r="U28" s="66">
        <f t="shared" ref="U28" si="89">U27/T27-1</f>
        <v>0.57183098591549286</v>
      </c>
      <c r="V28" s="149">
        <f t="shared" ref="V28" si="90">V27/U27-1</f>
        <v>-4.1218637992831542E-2</v>
      </c>
      <c r="W28" s="161">
        <f t="shared" ref="W28" si="91">W27/V27-1</f>
        <v>0.2429906542056075</v>
      </c>
      <c r="X28" s="66">
        <f t="shared" ref="X28" si="92">X27/W27-1</f>
        <v>0.15789473684210531</v>
      </c>
      <c r="Y28" s="66">
        <f t="shared" ref="Y28" si="93">Y27/X27-1</f>
        <v>0.19480519480519476</v>
      </c>
      <c r="Z28" s="149">
        <f>Y28</f>
        <v>0.19480519480519476</v>
      </c>
      <c r="AA28" s="161">
        <f t="shared" ref="AA28:AH28" si="94">Z28</f>
        <v>0.19480519480519476</v>
      </c>
      <c r="AB28" s="66">
        <f t="shared" si="94"/>
        <v>0.19480519480519476</v>
      </c>
      <c r="AC28" s="66">
        <f t="shared" si="94"/>
        <v>0.19480519480519476</v>
      </c>
      <c r="AD28" s="149">
        <f t="shared" si="94"/>
        <v>0.19480519480519476</v>
      </c>
      <c r="AE28" s="161">
        <f t="shared" si="94"/>
        <v>0.19480519480519476</v>
      </c>
      <c r="AF28" s="66">
        <f t="shared" si="94"/>
        <v>0.19480519480519476</v>
      </c>
      <c r="AG28" s="66">
        <f t="shared" si="94"/>
        <v>0.19480519480519476</v>
      </c>
      <c r="AH28" s="149">
        <f t="shared" si="94"/>
        <v>0.19480519480519476</v>
      </c>
    </row>
    <row r="29" spans="2:34">
      <c r="B29" s="65" t="s">
        <v>120</v>
      </c>
      <c r="C29" s="66"/>
      <c r="D29" s="66"/>
      <c r="E29" s="66"/>
      <c r="F29" s="149"/>
      <c r="G29" s="161"/>
      <c r="H29" s="66"/>
      <c r="I29" s="66"/>
      <c r="J29" s="149"/>
      <c r="K29" s="161"/>
      <c r="L29" s="66"/>
      <c r="M29" s="66"/>
      <c r="N29" s="149"/>
      <c r="O29" s="161">
        <f t="shared" ref="O29" si="95">O27/K27-1</f>
        <v>-63</v>
      </c>
      <c r="P29" s="66">
        <f t="shared" ref="P29" si="96">P27/L27-1</f>
        <v>0.60000000000000009</v>
      </c>
      <c r="Q29" s="66">
        <f t="shared" ref="Q29" si="97">Q27/M27-1</f>
        <v>0.1689814814814814</v>
      </c>
      <c r="R29" s="149">
        <f t="shared" ref="R29" si="98">R27/N27-1</f>
        <v>-0.46938775510204078</v>
      </c>
      <c r="S29" s="161">
        <f t="shared" ref="S29" si="99">S27/O27-1</f>
        <v>-0.10752688172043012</v>
      </c>
      <c r="T29" s="66">
        <f t="shared" ref="T29" si="100">T27/P27-1</f>
        <v>0.47916666666666674</v>
      </c>
      <c r="U29" s="66">
        <f t="shared" ref="U29" si="101">U27/Q27-1</f>
        <v>0.10495049504950504</v>
      </c>
      <c r="V29" s="149">
        <f t="shared" ref="V29" si="102">V27/R27-1</f>
        <v>3.115384615384615</v>
      </c>
      <c r="W29" s="161">
        <f t="shared" ref="W29" si="103">W27/S27-1</f>
        <v>3.0060240963855422</v>
      </c>
      <c r="X29" s="66">
        <f t="shared" ref="X29" si="104">X27/T27-1</f>
        <v>1.1690140845070425</v>
      </c>
      <c r="Y29" s="66">
        <f t="shared" ref="Y29" si="105">Y27/U27-1</f>
        <v>0.64874551971326166</v>
      </c>
      <c r="Z29" s="74"/>
      <c r="AA29" s="140"/>
      <c r="AB29" s="73"/>
      <c r="AC29" s="73"/>
      <c r="AD29" s="74"/>
      <c r="AE29" s="140"/>
      <c r="AF29" s="73"/>
      <c r="AG29" s="73"/>
      <c r="AH29" s="74"/>
    </row>
    <row r="30" spans="2:34">
      <c r="B30" s="59" t="s">
        <v>43</v>
      </c>
      <c r="C30" s="9">
        <f>C27+C23+C19+C17</f>
        <v>5512</v>
      </c>
      <c r="D30" s="9">
        <f t="shared" ref="D30:AH30" si="106">D27+D23+D19+D17</f>
        <v>6639</v>
      </c>
      <c r="E30" s="9">
        <f t="shared" si="106"/>
        <v>7720</v>
      </c>
      <c r="F30" s="70">
        <f t="shared" si="106"/>
        <v>8153</v>
      </c>
      <c r="G30" s="152">
        <f t="shared" si="106"/>
        <v>8908</v>
      </c>
      <c r="H30" s="9">
        <f t="shared" si="106"/>
        <v>10864</v>
      </c>
      <c r="I30" s="9">
        <f t="shared" si="106"/>
        <v>14561</v>
      </c>
      <c r="J30" s="70">
        <f t="shared" si="106"/>
        <v>15409</v>
      </c>
      <c r="K30" s="152">
        <f t="shared" si="106"/>
        <v>16796</v>
      </c>
      <c r="L30" s="9">
        <f t="shared" si="106"/>
        <v>19140</v>
      </c>
      <c r="M30" s="9">
        <f t="shared" si="106"/>
        <v>20622</v>
      </c>
      <c r="N30" s="70">
        <f t="shared" si="106"/>
        <v>23345</v>
      </c>
      <c r="O30" s="152">
        <f t="shared" si="106"/>
        <v>23416</v>
      </c>
      <c r="P30" s="9">
        <f t="shared" si="106"/>
        <v>25186</v>
      </c>
      <c r="Q30" s="9">
        <f t="shared" si="106"/>
        <v>28505</v>
      </c>
      <c r="R30" s="70">
        <f t="shared" si="106"/>
        <v>22670</v>
      </c>
      <c r="S30" s="152">
        <f t="shared" si="106"/>
        <v>15016</v>
      </c>
      <c r="T30" s="9">
        <f t="shared" si="106"/>
        <v>16595</v>
      </c>
      <c r="U30" s="9">
        <f t="shared" si="106"/>
        <v>18278</v>
      </c>
      <c r="V30" s="70">
        <f t="shared" si="106"/>
        <v>19115</v>
      </c>
      <c r="W30" s="152">
        <f t="shared" si="106"/>
        <v>19175</v>
      </c>
      <c r="X30" s="9">
        <f t="shared" si="106"/>
        <v>20620</v>
      </c>
      <c r="Y30" s="9">
        <f t="shared" si="106"/>
        <v>21940</v>
      </c>
      <c r="Z30" s="153">
        <f t="shared" si="106"/>
        <v>23055.418897046489</v>
      </c>
      <c r="AA30" s="154">
        <f t="shared" si="106"/>
        <v>24730.238421696184</v>
      </c>
      <c r="AB30" s="126">
        <f t="shared" si="106"/>
        <v>26702.401979794249</v>
      </c>
      <c r="AC30" s="126">
        <f t="shared" si="106"/>
        <v>29298.86041864887</v>
      </c>
      <c r="AD30" s="153">
        <f t="shared" si="106"/>
        <v>31042.757255271721</v>
      </c>
      <c r="AE30" s="154">
        <f t="shared" si="106"/>
        <v>33452.317204296014</v>
      </c>
      <c r="AF30" s="126">
        <f t="shared" si="106"/>
        <v>36280.911606653892</v>
      </c>
      <c r="AG30" s="126">
        <f t="shared" si="106"/>
        <v>39943.567448282818</v>
      </c>
      <c r="AH30" s="153">
        <f t="shared" si="106"/>
        <v>42611.353189752597</v>
      </c>
    </row>
    <row r="31" spans="2:34">
      <c r="C31" s="36"/>
      <c r="D31" s="36"/>
      <c r="E31" s="36"/>
      <c r="F31" s="62"/>
      <c r="G31" s="61"/>
      <c r="H31" s="36"/>
      <c r="I31" s="36"/>
      <c r="J31" s="62"/>
      <c r="K31" s="61"/>
      <c r="L31" s="36"/>
      <c r="M31" s="36"/>
      <c r="N31" s="62"/>
      <c r="O31" s="61"/>
      <c r="P31" s="36"/>
      <c r="Q31" s="36"/>
      <c r="R31" s="62"/>
      <c r="S31" s="61"/>
      <c r="T31" s="36"/>
      <c r="U31" s="36"/>
      <c r="V31" s="62"/>
      <c r="W31" s="61"/>
      <c r="X31" s="36"/>
      <c r="Y31" s="36"/>
      <c r="Z31" s="62"/>
      <c r="AA31" s="61"/>
      <c r="AB31" s="36"/>
      <c r="AC31" s="36"/>
      <c r="AD31" s="62"/>
      <c r="AE31" s="61"/>
      <c r="AF31" s="36"/>
      <c r="AG31" s="36"/>
      <c r="AH31" s="62"/>
    </row>
    <row r="32" spans="2:34">
      <c r="B32" s="69" t="s">
        <v>129</v>
      </c>
      <c r="C32" s="67"/>
      <c r="D32" s="67"/>
      <c r="E32" s="67"/>
      <c r="F32" s="68"/>
      <c r="G32" s="162"/>
      <c r="H32" s="67"/>
      <c r="I32" s="67"/>
      <c r="J32" s="68"/>
      <c r="K32" s="162"/>
      <c r="L32" s="67"/>
      <c r="M32" s="67"/>
      <c r="N32" s="68"/>
      <c r="O32" s="162"/>
      <c r="P32" s="67"/>
      <c r="Q32" s="67"/>
      <c r="R32" s="68"/>
      <c r="S32" s="162"/>
      <c r="T32" s="67"/>
      <c r="U32" s="67"/>
      <c r="V32" s="68"/>
      <c r="W32" s="162"/>
      <c r="X32" s="67"/>
      <c r="Y32" s="67"/>
      <c r="Z32" s="68"/>
      <c r="AA32" s="162"/>
      <c r="AB32" s="67"/>
      <c r="AC32" s="67"/>
      <c r="AD32" s="68"/>
      <c r="AE32" s="162"/>
      <c r="AF32" s="67"/>
      <c r="AG32" s="67"/>
      <c r="AH32" s="68"/>
    </row>
    <row r="33" spans="2:34">
      <c r="B33" s="63" t="s">
        <v>130</v>
      </c>
      <c r="C33" s="64">
        <v>3980</v>
      </c>
      <c r="D33" s="64">
        <v>4924</v>
      </c>
      <c r="E33" s="64">
        <v>5177</v>
      </c>
      <c r="F33" s="127">
        <v>5087</v>
      </c>
      <c r="G33" s="132">
        <v>5265</v>
      </c>
      <c r="H33" s="64">
        <v>6700</v>
      </c>
      <c r="I33" s="64">
        <v>7831</v>
      </c>
      <c r="J33" s="127">
        <v>7742</v>
      </c>
      <c r="K33" s="132">
        <v>6938</v>
      </c>
      <c r="L33" s="64">
        <v>7458</v>
      </c>
      <c r="M33" s="64">
        <v>7378</v>
      </c>
      <c r="N33" s="127">
        <v>7803</v>
      </c>
      <c r="O33" s="132">
        <v>7666</v>
      </c>
      <c r="P33" s="64">
        <v>8167</v>
      </c>
      <c r="Q33" s="64">
        <v>9822</v>
      </c>
      <c r="R33" s="127">
        <v>7148</v>
      </c>
      <c r="S33" s="132">
        <v>5171</v>
      </c>
      <c r="T33" s="64">
        <v>5168</v>
      </c>
      <c r="U33" s="64">
        <v>5704</v>
      </c>
      <c r="V33" s="127">
        <v>5204</v>
      </c>
      <c r="W33" s="132">
        <v>5809</v>
      </c>
      <c r="X33" s="64">
        <v>6290</v>
      </c>
      <c r="Y33" s="64">
        <v>6710</v>
      </c>
      <c r="Z33" s="74">
        <f>Z4*1000*Z34</f>
        <v>6800.5804905913965</v>
      </c>
      <c r="AA33" s="140">
        <f t="shared" ref="AA33:AH33" si="107">AA4*1000*AA34</f>
        <v>7146.1234993025264</v>
      </c>
      <c r="AB33" s="73">
        <f t="shared" si="107"/>
        <v>7591.4063946812894</v>
      </c>
      <c r="AC33" s="73">
        <f t="shared" si="107"/>
        <v>8311.643704979997</v>
      </c>
      <c r="AD33" s="74">
        <f t="shared" si="107"/>
        <v>8465.3420841374082</v>
      </c>
      <c r="AE33" s="140">
        <f t="shared" si="107"/>
        <v>8895.4729792233102</v>
      </c>
      <c r="AF33" s="73">
        <f t="shared" si="107"/>
        <v>9449.7597844175816</v>
      </c>
      <c r="AG33" s="73">
        <f t="shared" si="107"/>
        <v>10346.309016041687</v>
      </c>
      <c r="AH33" s="74">
        <f t="shared" si="107"/>
        <v>10537.63229486252</v>
      </c>
    </row>
    <row r="34" spans="2:34">
      <c r="B34" s="61" t="s">
        <v>131</v>
      </c>
      <c r="C34" s="75">
        <f>C33/(C4*1000)</f>
        <v>5.7101865136298426E-3</v>
      </c>
      <c r="D34" s="75">
        <f t="shared" ref="D34:Y34" si="108">D33/(D4*1000)</f>
        <v>5.1995776135163674E-3</v>
      </c>
      <c r="E34" s="75">
        <f t="shared" si="108"/>
        <v>4.6181980374665477E-3</v>
      </c>
      <c r="F34" s="150">
        <f t="shared" si="108"/>
        <v>4.0118296529968456E-3</v>
      </c>
      <c r="G34" s="163">
        <f t="shared" si="108"/>
        <v>3.5840707964601769E-3</v>
      </c>
      <c r="H34" s="75">
        <f t="shared" si="108"/>
        <v>3.425357873210634E-3</v>
      </c>
      <c r="I34" s="75">
        <f t="shared" si="108"/>
        <v>3.1324E-3</v>
      </c>
      <c r="J34" s="150">
        <f t="shared" si="108"/>
        <v>2.9891891891891892E-3</v>
      </c>
      <c r="K34" s="163">
        <f t="shared" si="108"/>
        <v>2.3439189189189188E-3</v>
      </c>
      <c r="L34" s="75">
        <f t="shared" si="108"/>
        <v>2.3452830188679247E-3</v>
      </c>
      <c r="M34" s="75">
        <f t="shared" si="108"/>
        <v>2.1323699421965316E-3</v>
      </c>
      <c r="N34" s="150">
        <f t="shared" si="108"/>
        <v>2.155524861878453E-3</v>
      </c>
      <c r="O34" s="163">
        <f t="shared" si="108"/>
        <v>1.8928395061728394E-3</v>
      </c>
      <c r="P34" s="75">
        <f t="shared" si="108"/>
        <v>1.8148888888888889E-3</v>
      </c>
      <c r="Q34" s="75">
        <f t="shared" si="108"/>
        <v>1.9258823529411766E-3</v>
      </c>
      <c r="R34" s="150">
        <f t="shared" si="108"/>
        <v>1.5240938166311301E-3</v>
      </c>
      <c r="S34" s="163">
        <f t="shared" si="108"/>
        <v>1.2138497652582159E-3</v>
      </c>
      <c r="T34" s="75">
        <f t="shared" si="108"/>
        <v>1.1484444444444443E-3</v>
      </c>
      <c r="U34" s="75">
        <f t="shared" si="108"/>
        <v>1.1317460317460317E-3</v>
      </c>
      <c r="V34" s="150">
        <f t="shared" si="108"/>
        <v>1.0203921568627452E-3</v>
      </c>
      <c r="W34" s="163">
        <f t="shared" si="108"/>
        <v>1.0757407407407408E-3</v>
      </c>
      <c r="X34" s="75">
        <f t="shared" si="108"/>
        <v>1.1035087719298245E-3</v>
      </c>
      <c r="Y34" s="75">
        <f t="shared" si="108"/>
        <v>1.082258064516129E-3</v>
      </c>
      <c r="Z34" s="77">
        <f>Y34</f>
        <v>1.082258064516129E-3</v>
      </c>
      <c r="AA34" s="174">
        <f t="shared" ref="AA34:AH34" si="109">Z34</f>
        <v>1.082258064516129E-3</v>
      </c>
      <c r="AB34" s="76">
        <f t="shared" si="109"/>
        <v>1.082258064516129E-3</v>
      </c>
      <c r="AC34" s="76">
        <f t="shared" si="109"/>
        <v>1.082258064516129E-3</v>
      </c>
      <c r="AD34" s="77">
        <f t="shared" si="109"/>
        <v>1.082258064516129E-3</v>
      </c>
      <c r="AE34" s="174">
        <f t="shared" si="109"/>
        <v>1.082258064516129E-3</v>
      </c>
      <c r="AF34" s="76">
        <f t="shared" si="109"/>
        <v>1.082258064516129E-3</v>
      </c>
      <c r="AG34" s="76">
        <f t="shared" si="109"/>
        <v>1.082258064516129E-3</v>
      </c>
      <c r="AH34" s="77">
        <f t="shared" si="109"/>
        <v>1.082258064516129E-3</v>
      </c>
    </row>
    <row r="35" spans="2:34">
      <c r="B35" s="61"/>
      <c r="C35" s="36"/>
      <c r="D35" s="36"/>
      <c r="E35" s="36"/>
      <c r="F35" s="62"/>
      <c r="G35" s="61"/>
      <c r="H35" s="36"/>
      <c r="I35" s="36"/>
      <c r="J35" s="62"/>
      <c r="K35" s="61"/>
      <c r="L35" s="36"/>
      <c r="M35" s="36"/>
      <c r="N35" s="62"/>
      <c r="O35" s="61"/>
      <c r="P35" s="36"/>
      <c r="Q35" s="36"/>
      <c r="R35" s="62"/>
      <c r="S35" s="61"/>
      <c r="T35" s="36"/>
      <c r="U35" s="36"/>
      <c r="V35" s="62"/>
      <c r="W35" s="61"/>
      <c r="X35" s="36"/>
      <c r="Y35" s="36"/>
      <c r="Z35" s="62"/>
      <c r="AA35" s="61"/>
      <c r="AB35" s="36"/>
      <c r="AC35" s="36"/>
      <c r="AD35" s="62"/>
      <c r="AE35" s="61"/>
      <c r="AF35" s="36"/>
      <c r="AG35" s="36"/>
      <c r="AH35" s="62"/>
    </row>
    <row r="36" spans="2:34">
      <c r="B36" s="63" t="s">
        <v>45</v>
      </c>
      <c r="C36" s="64">
        <v>841</v>
      </c>
      <c r="D36" s="64">
        <v>1365</v>
      </c>
      <c r="E36" s="64">
        <v>2118</v>
      </c>
      <c r="F36" s="127">
        <v>1001</v>
      </c>
      <c r="G36" s="132">
        <v>1377</v>
      </c>
      <c r="H36" s="64">
        <v>1857</v>
      </c>
      <c r="I36" s="64">
        <v>2831</v>
      </c>
      <c r="J36" s="127">
        <v>2489</v>
      </c>
      <c r="K36" s="132">
        <v>3181</v>
      </c>
      <c r="L36" s="64">
        <v>3275</v>
      </c>
      <c r="M36" s="64">
        <v>2263</v>
      </c>
      <c r="N36" s="127">
        <v>2045</v>
      </c>
      <c r="O36" s="132">
        <v>2653</v>
      </c>
      <c r="P36" s="64">
        <v>2528</v>
      </c>
      <c r="Q36" s="64">
        <v>2752</v>
      </c>
      <c r="R36" s="127">
        <v>1287</v>
      </c>
      <c r="S36" s="132">
        <v>2214</v>
      </c>
      <c r="T36" s="64">
        <v>1544</v>
      </c>
      <c r="U36" s="64">
        <v>1409</v>
      </c>
      <c r="V36" s="127">
        <v>1427</v>
      </c>
      <c r="W36" s="132">
        <v>998</v>
      </c>
      <c r="X36" s="64">
        <v>1220</v>
      </c>
      <c r="Y36" s="64">
        <v>1460</v>
      </c>
      <c r="Z36" s="74">
        <f>Z30*Z37</f>
        <v>1613.8793227932545</v>
      </c>
      <c r="AA36" s="140">
        <f t="shared" ref="AA36:AH36" si="110">AA30*AA37</f>
        <v>1731.116689518733</v>
      </c>
      <c r="AB36" s="73">
        <f t="shared" si="110"/>
        <v>1869.1681385855977</v>
      </c>
      <c r="AC36" s="73">
        <f t="shared" si="110"/>
        <v>2050.9202293054209</v>
      </c>
      <c r="AD36" s="74">
        <f t="shared" si="110"/>
        <v>2172.9930078690209</v>
      </c>
      <c r="AE36" s="140">
        <f t="shared" si="110"/>
        <v>2341.662204300721</v>
      </c>
      <c r="AF36" s="73">
        <f t="shared" si="110"/>
        <v>2539.6638124657725</v>
      </c>
      <c r="AG36" s="73">
        <f t="shared" si="110"/>
        <v>2796.0497213797976</v>
      </c>
      <c r="AH36" s="74">
        <f t="shared" si="110"/>
        <v>2982.7947232826823</v>
      </c>
    </row>
    <row r="37" spans="2:34">
      <c r="B37" s="61" t="s">
        <v>132</v>
      </c>
      <c r="C37" s="66">
        <f>C36/C30</f>
        <v>0.15257619738751815</v>
      </c>
      <c r="D37" s="66">
        <f t="shared" ref="D37:Y37" si="111">D36/D30</f>
        <v>0.20560325350203343</v>
      </c>
      <c r="E37" s="66">
        <f t="shared" si="111"/>
        <v>0.27435233160621764</v>
      </c>
      <c r="F37" s="149">
        <f t="shared" si="111"/>
        <v>0.12277689194161659</v>
      </c>
      <c r="G37" s="161">
        <f t="shared" si="111"/>
        <v>0.15458015267175573</v>
      </c>
      <c r="H37" s="66">
        <f t="shared" si="111"/>
        <v>0.17093151693667158</v>
      </c>
      <c r="I37" s="66">
        <f t="shared" si="111"/>
        <v>0.19442345992720281</v>
      </c>
      <c r="J37" s="149">
        <f t="shared" si="111"/>
        <v>0.16152897657213316</v>
      </c>
      <c r="K37" s="161">
        <f t="shared" si="111"/>
        <v>0.1893903310311979</v>
      </c>
      <c r="L37" s="66">
        <f t="shared" si="111"/>
        <v>0.17110762800417972</v>
      </c>
      <c r="M37" s="66">
        <f t="shared" si="111"/>
        <v>0.10973717389196004</v>
      </c>
      <c r="N37" s="149">
        <f t="shared" si="111"/>
        <v>8.7599057614050124E-2</v>
      </c>
      <c r="O37" s="161">
        <f t="shared" si="111"/>
        <v>0.11329859924837718</v>
      </c>
      <c r="P37" s="66">
        <f t="shared" si="111"/>
        <v>0.10037322321924878</v>
      </c>
      <c r="Q37" s="66">
        <f t="shared" si="111"/>
        <v>9.6544465883178388E-2</v>
      </c>
      <c r="R37" s="149">
        <f t="shared" si="111"/>
        <v>5.6771063078958975E-2</v>
      </c>
      <c r="S37" s="161">
        <f t="shared" si="111"/>
        <v>0.14744272775705913</v>
      </c>
      <c r="T37" s="66">
        <f t="shared" si="111"/>
        <v>9.3040072310937028E-2</v>
      </c>
      <c r="U37" s="66">
        <f t="shared" si="111"/>
        <v>7.7087208666156037E-2</v>
      </c>
      <c r="V37" s="149">
        <f t="shared" si="111"/>
        <v>7.4653413549568406E-2</v>
      </c>
      <c r="W37" s="161">
        <f t="shared" si="111"/>
        <v>5.2046936114732725E-2</v>
      </c>
      <c r="X37" s="66">
        <f t="shared" si="111"/>
        <v>5.9165858389912708E-2</v>
      </c>
      <c r="Y37" s="66">
        <f t="shared" si="111"/>
        <v>6.6545123062898809E-2</v>
      </c>
      <c r="Z37" s="72">
        <v>7.0000000000000007E-2</v>
      </c>
      <c r="AA37" s="175">
        <v>7.0000000000000007E-2</v>
      </c>
      <c r="AB37" s="71">
        <v>7.0000000000000007E-2</v>
      </c>
      <c r="AC37" s="71">
        <v>7.0000000000000007E-2</v>
      </c>
      <c r="AD37" s="72">
        <v>7.0000000000000007E-2</v>
      </c>
      <c r="AE37" s="175">
        <v>7.0000000000000007E-2</v>
      </c>
      <c r="AF37" s="71">
        <v>7.0000000000000007E-2</v>
      </c>
      <c r="AG37" s="71">
        <v>7.0000000000000007E-2</v>
      </c>
      <c r="AH37" s="72">
        <v>7.0000000000000007E-2</v>
      </c>
    </row>
    <row r="38" spans="2:34">
      <c r="B38" s="63"/>
      <c r="C38" s="36"/>
      <c r="D38" s="36"/>
      <c r="E38" s="36"/>
      <c r="F38" s="62"/>
      <c r="G38" s="61"/>
      <c r="H38" s="36"/>
      <c r="I38" s="36"/>
      <c r="J38" s="62"/>
      <c r="K38" s="61"/>
      <c r="L38" s="36"/>
      <c r="M38" s="36"/>
      <c r="N38" s="62"/>
      <c r="O38" s="61"/>
      <c r="P38" s="36"/>
      <c r="Q38" s="36"/>
      <c r="R38" s="62"/>
      <c r="S38" s="61"/>
      <c r="T38" s="36"/>
      <c r="U38" s="36"/>
      <c r="V38" s="62"/>
      <c r="W38" s="61"/>
      <c r="X38" s="36"/>
      <c r="Y38" s="36"/>
      <c r="Z38" s="62"/>
      <c r="AA38" s="61"/>
      <c r="AB38" s="36"/>
      <c r="AC38" s="36"/>
      <c r="AD38" s="62"/>
      <c r="AE38" s="61"/>
      <c r="AF38" s="36"/>
      <c r="AG38" s="36"/>
      <c r="AH38" s="62"/>
    </row>
    <row r="39" spans="2:34">
      <c r="B39" s="63" t="s">
        <v>46</v>
      </c>
      <c r="C39" s="64">
        <v>2138</v>
      </c>
      <c r="D39" s="64">
        <v>2862</v>
      </c>
      <c r="E39" s="64">
        <v>3371</v>
      </c>
      <c r="F39" s="127">
        <v>3478</v>
      </c>
      <c r="G39" s="132">
        <v>3507</v>
      </c>
      <c r="H39" s="64">
        <v>3865</v>
      </c>
      <c r="I39" s="64">
        <v>8313</v>
      </c>
      <c r="J39" s="127">
        <v>8634</v>
      </c>
      <c r="K39" s="132">
        <v>9117</v>
      </c>
      <c r="L39" s="64">
        <v>9441</v>
      </c>
      <c r="M39" s="64">
        <v>9456</v>
      </c>
      <c r="N39" s="127">
        <v>9769</v>
      </c>
      <c r="O39" s="132">
        <v>11061</v>
      </c>
      <c r="P39" s="64">
        <v>11915</v>
      </c>
      <c r="Q39" s="64">
        <v>11872</v>
      </c>
      <c r="R39" s="127">
        <v>11044</v>
      </c>
      <c r="S39" s="132">
        <v>9525</v>
      </c>
      <c r="T39" s="64">
        <v>8310</v>
      </c>
      <c r="U39" s="64">
        <v>7563</v>
      </c>
      <c r="V39" s="127">
        <v>7483</v>
      </c>
      <c r="W39" s="132">
        <v>6426</v>
      </c>
      <c r="X39" s="64">
        <v>6630</v>
      </c>
      <c r="Y39" s="64">
        <v>7210</v>
      </c>
      <c r="Z39" s="74">
        <f>Z30*Z40</f>
        <v>6916.625669113947</v>
      </c>
      <c r="AA39" s="140">
        <f t="shared" ref="AA39:AH39" si="112">AA30*AA40</f>
        <v>7419.0715265088547</v>
      </c>
      <c r="AB39" s="73">
        <f t="shared" si="112"/>
        <v>8010.7205939382748</v>
      </c>
      <c r="AC39" s="73">
        <f t="shared" si="112"/>
        <v>8789.6581255946603</v>
      </c>
      <c r="AD39" s="74">
        <f t="shared" si="112"/>
        <v>9312.8271765815152</v>
      </c>
      <c r="AE39" s="140">
        <f t="shared" si="112"/>
        <v>10035.695161288804</v>
      </c>
      <c r="AF39" s="73">
        <f t="shared" si="112"/>
        <v>10884.273481996168</v>
      </c>
      <c r="AG39" s="73">
        <f t="shared" si="112"/>
        <v>11983.070234484845</v>
      </c>
      <c r="AH39" s="74">
        <f t="shared" si="112"/>
        <v>12783.405956925779</v>
      </c>
    </row>
    <row r="40" spans="2:34">
      <c r="B40" s="78" t="s">
        <v>132</v>
      </c>
      <c r="C40" s="66">
        <f>C39/C30</f>
        <v>0.38788098693759071</v>
      </c>
      <c r="D40" s="66">
        <f t="shared" ref="D40:Y40" si="113">D39/D30</f>
        <v>0.43108901943063715</v>
      </c>
      <c r="E40" s="66">
        <f t="shared" si="113"/>
        <v>0.43665803108808288</v>
      </c>
      <c r="F40" s="149">
        <f t="shared" si="113"/>
        <v>0.42659143873420824</v>
      </c>
      <c r="G40" s="161">
        <f t="shared" si="113"/>
        <v>0.39369106421194433</v>
      </c>
      <c r="H40" s="66">
        <f t="shared" si="113"/>
        <v>0.35576215022091312</v>
      </c>
      <c r="I40" s="66">
        <f t="shared" si="113"/>
        <v>0.57090859144289541</v>
      </c>
      <c r="J40" s="149">
        <f t="shared" si="113"/>
        <v>0.56032188980465958</v>
      </c>
      <c r="K40" s="161">
        <f t="shared" si="113"/>
        <v>0.54280781138366274</v>
      </c>
      <c r="L40" s="66">
        <f t="shared" si="113"/>
        <v>0.49326018808777428</v>
      </c>
      <c r="M40" s="66">
        <f t="shared" si="113"/>
        <v>0.458539423916206</v>
      </c>
      <c r="N40" s="149">
        <f t="shared" si="113"/>
        <v>0.4184621974726922</v>
      </c>
      <c r="O40" s="161">
        <f t="shared" si="113"/>
        <v>0.47236932012299282</v>
      </c>
      <c r="P40" s="66">
        <f t="shared" si="113"/>
        <v>0.4730802826967363</v>
      </c>
      <c r="Q40" s="66">
        <f t="shared" si="113"/>
        <v>0.41648833537975793</v>
      </c>
      <c r="R40" s="149">
        <f t="shared" si="113"/>
        <v>0.48716365240405823</v>
      </c>
      <c r="S40" s="161">
        <f t="shared" si="113"/>
        <v>0.63432338838572189</v>
      </c>
      <c r="T40" s="66">
        <f t="shared" si="113"/>
        <v>0.50075323892738777</v>
      </c>
      <c r="U40" s="66">
        <f t="shared" si="113"/>
        <v>0.4137761243024401</v>
      </c>
      <c r="V40" s="149">
        <f t="shared" si="113"/>
        <v>0.3914726654459848</v>
      </c>
      <c r="W40" s="161">
        <f t="shared" si="113"/>
        <v>0.33512385919165583</v>
      </c>
      <c r="X40" s="66">
        <f t="shared" si="113"/>
        <v>0.32153249272550921</v>
      </c>
      <c r="Y40" s="66">
        <f t="shared" si="113"/>
        <v>0.32862351868732909</v>
      </c>
      <c r="Z40" s="72">
        <v>0.3</v>
      </c>
      <c r="AA40" s="175">
        <v>0.3</v>
      </c>
      <c r="AB40" s="71">
        <v>0.3</v>
      </c>
      <c r="AC40" s="71">
        <v>0.3</v>
      </c>
      <c r="AD40" s="72">
        <v>0.3</v>
      </c>
      <c r="AE40" s="175">
        <v>0.3</v>
      </c>
      <c r="AF40" s="71">
        <v>0.3</v>
      </c>
      <c r="AG40" s="71">
        <v>0.3</v>
      </c>
      <c r="AH40" s="72">
        <v>0.3</v>
      </c>
    </row>
    <row r="41" spans="2:34">
      <c r="B41" s="61"/>
      <c r="C41" s="36"/>
      <c r="D41" s="36"/>
      <c r="E41" s="36"/>
      <c r="F41" s="62"/>
      <c r="G41" s="61"/>
      <c r="H41" s="36"/>
      <c r="I41" s="36"/>
      <c r="J41" s="62"/>
      <c r="K41" s="61"/>
      <c r="L41" s="36"/>
      <c r="M41" s="36"/>
      <c r="N41" s="62"/>
      <c r="O41" s="61"/>
      <c r="P41" s="36"/>
      <c r="Q41" s="36"/>
      <c r="R41" s="62"/>
      <c r="S41" s="61"/>
      <c r="T41" s="36"/>
      <c r="U41" s="36"/>
      <c r="V41" s="62"/>
      <c r="W41" s="61"/>
      <c r="X41" s="36"/>
      <c r="Y41" s="36"/>
      <c r="Z41" s="62"/>
      <c r="AA41" s="61"/>
      <c r="AB41" s="36"/>
      <c r="AC41" s="36"/>
      <c r="AD41" s="62"/>
      <c r="AE41" s="61"/>
      <c r="AF41" s="36"/>
      <c r="AG41" s="36"/>
      <c r="AH41" s="62"/>
    </row>
    <row r="42" spans="2:34">
      <c r="B42" s="63" t="s">
        <v>47</v>
      </c>
      <c r="C42" s="64">
        <v>746</v>
      </c>
      <c r="D42" s="64">
        <v>721</v>
      </c>
      <c r="E42" s="64">
        <v>951</v>
      </c>
      <c r="F42" s="127">
        <v>1080</v>
      </c>
      <c r="G42" s="132">
        <v>1058</v>
      </c>
      <c r="H42" s="64">
        <v>1129</v>
      </c>
      <c r="I42" s="64">
        <v>1301</v>
      </c>
      <c r="J42" s="127">
        <v>1511</v>
      </c>
      <c r="K42" s="132">
        <v>1622</v>
      </c>
      <c r="L42" s="64">
        <v>1728</v>
      </c>
      <c r="M42" s="64">
        <v>1709</v>
      </c>
      <c r="N42" s="127">
        <v>1880</v>
      </c>
      <c r="O42" s="132">
        <v>1550</v>
      </c>
      <c r="P42" s="64">
        <v>1553</v>
      </c>
      <c r="Q42" s="64">
        <v>1704</v>
      </c>
      <c r="R42" s="127">
        <v>1623</v>
      </c>
      <c r="S42" s="132">
        <v>1824</v>
      </c>
      <c r="T42" s="64">
        <v>1578</v>
      </c>
      <c r="U42" s="64">
        <v>1536</v>
      </c>
      <c r="V42" s="127">
        <v>1459</v>
      </c>
      <c r="W42" s="132">
        <v>1677</v>
      </c>
      <c r="X42" s="64">
        <v>1330</v>
      </c>
      <c r="Y42" s="64">
        <v>1670</v>
      </c>
      <c r="Z42" s="74">
        <f>Z30*Z43</f>
        <v>1844.4335117637193</v>
      </c>
      <c r="AA42" s="140">
        <f t="shared" ref="AA42:AH42" si="114">AA30*AA43</f>
        <v>1978.4190737356948</v>
      </c>
      <c r="AB42" s="73">
        <f t="shared" si="114"/>
        <v>2136.1921583835401</v>
      </c>
      <c r="AC42" s="73">
        <f t="shared" si="114"/>
        <v>2343.9088334919097</v>
      </c>
      <c r="AD42" s="74">
        <f t="shared" si="114"/>
        <v>2483.4205804217377</v>
      </c>
      <c r="AE42" s="140">
        <f t="shared" si="114"/>
        <v>2676.1853763436811</v>
      </c>
      <c r="AF42" s="73">
        <f t="shared" si="114"/>
        <v>2902.4729285323115</v>
      </c>
      <c r="AG42" s="73">
        <f t="shared" si="114"/>
        <v>3195.4853958626254</v>
      </c>
      <c r="AH42" s="74">
        <f t="shared" si="114"/>
        <v>3408.908255180208</v>
      </c>
    </row>
    <row r="43" spans="2:34">
      <c r="B43" s="78" t="s">
        <v>132</v>
      </c>
      <c r="C43" s="66">
        <f>C42/C30</f>
        <v>0.13534107402031931</v>
      </c>
      <c r="D43" s="66">
        <f t="shared" ref="D43:Y43" si="115">D42/D30</f>
        <v>0.10860069287543304</v>
      </c>
      <c r="E43" s="66">
        <f t="shared" si="115"/>
        <v>0.12318652849740933</v>
      </c>
      <c r="F43" s="149">
        <f t="shared" si="115"/>
        <v>0.13246657672022569</v>
      </c>
      <c r="G43" s="161">
        <f t="shared" si="115"/>
        <v>0.11876964526268523</v>
      </c>
      <c r="H43" s="66">
        <f t="shared" si="115"/>
        <v>0.10392120765832107</v>
      </c>
      <c r="I43" s="66">
        <f t="shared" si="115"/>
        <v>8.9348259048142295E-2</v>
      </c>
      <c r="J43" s="149">
        <f t="shared" si="115"/>
        <v>9.8059575572717245E-2</v>
      </c>
      <c r="K43" s="161">
        <f t="shared" si="115"/>
        <v>9.6570612050488211E-2</v>
      </c>
      <c r="L43" s="66">
        <f t="shared" si="115"/>
        <v>9.0282131661442E-2</v>
      </c>
      <c r="M43" s="66">
        <f t="shared" si="115"/>
        <v>8.2872660265735629E-2</v>
      </c>
      <c r="N43" s="149">
        <f t="shared" si="115"/>
        <v>8.0531162989933611E-2</v>
      </c>
      <c r="O43" s="161">
        <f t="shared" si="115"/>
        <v>6.6194055346771433E-2</v>
      </c>
      <c r="P43" s="66">
        <f t="shared" si="115"/>
        <v>6.1661240371635034E-2</v>
      </c>
      <c r="Q43" s="66">
        <f t="shared" si="115"/>
        <v>5.9778986142781966E-2</v>
      </c>
      <c r="R43" s="149">
        <f t="shared" si="115"/>
        <v>7.1592412880458756E-2</v>
      </c>
      <c r="S43" s="161">
        <f t="shared" si="115"/>
        <v>0.12147043153969099</v>
      </c>
      <c r="T43" s="66">
        <f t="shared" si="115"/>
        <v>9.5088882193431756E-2</v>
      </c>
      <c r="U43" s="66">
        <f t="shared" si="115"/>
        <v>8.4035452456505094E-2</v>
      </c>
      <c r="V43" s="149">
        <f t="shared" si="115"/>
        <v>7.6327491498822911E-2</v>
      </c>
      <c r="W43" s="161">
        <f t="shared" si="115"/>
        <v>8.7457627118644063E-2</v>
      </c>
      <c r="X43" s="66">
        <f t="shared" si="115"/>
        <v>6.4500484966052374E-2</v>
      </c>
      <c r="Y43" s="66">
        <f t="shared" si="115"/>
        <v>7.6116681859617133E-2</v>
      </c>
      <c r="Z43" s="72">
        <v>0.08</v>
      </c>
      <c r="AA43" s="175">
        <v>0.08</v>
      </c>
      <c r="AB43" s="71">
        <v>0.08</v>
      </c>
      <c r="AC43" s="71">
        <v>0.08</v>
      </c>
      <c r="AD43" s="72">
        <v>0.08</v>
      </c>
      <c r="AE43" s="175">
        <v>0.08</v>
      </c>
      <c r="AF43" s="71">
        <v>0.08</v>
      </c>
      <c r="AG43" s="71">
        <v>0.08</v>
      </c>
      <c r="AH43" s="72">
        <v>0.08</v>
      </c>
    </row>
    <row r="44" spans="2:34">
      <c r="B44" s="61"/>
      <c r="C44" s="36"/>
      <c r="D44" s="36"/>
      <c r="E44" s="36"/>
      <c r="F44" s="62"/>
      <c r="G44" s="61"/>
      <c r="H44" s="36"/>
      <c r="I44" s="36"/>
      <c r="J44" s="62"/>
      <c r="K44" s="61"/>
      <c r="L44" s="36"/>
      <c r="M44" s="36"/>
      <c r="N44" s="62"/>
      <c r="O44" s="61"/>
      <c r="P44" s="36"/>
      <c r="Q44" s="36"/>
      <c r="R44" s="62"/>
      <c r="S44" s="61"/>
      <c r="T44" s="36"/>
      <c r="U44" s="36"/>
      <c r="V44" s="62"/>
      <c r="W44" s="61"/>
      <c r="X44" s="36"/>
      <c r="Y44" s="36"/>
      <c r="Z44" s="62"/>
      <c r="AA44" s="61"/>
      <c r="AB44" s="36"/>
      <c r="AC44" s="36"/>
      <c r="AD44" s="62"/>
      <c r="AE44" s="61"/>
      <c r="AF44" s="36"/>
      <c r="AG44" s="36"/>
      <c r="AH44" s="62"/>
    </row>
    <row r="45" spans="2:34">
      <c r="B45" s="63" t="s">
        <v>48</v>
      </c>
      <c r="C45" s="64">
        <v>1123</v>
      </c>
      <c r="D45" s="64">
        <v>1223</v>
      </c>
      <c r="E45" s="64">
        <v>1393</v>
      </c>
      <c r="F45" s="127">
        <v>2118</v>
      </c>
      <c r="G45" s="132">
        <v>1410</v>
      </c>
      <c r="H45" s="64">
        <v>1837</v>
      </c>
      <c r="I45" s="64">
        <v>2164</v>
      </c>
      <c r="J45" s="127">
        <v>2323</v>
      </c>
      <c r="K45" s="132">
        <v>2277</v>
      </c>
      <c r="L45" s="64">
        <v>2616</v>
      </c>
      <c r="M45" s="64">
        <v>3123</v>
      </c>
      <c r="N45" s="127">
        <v>3139</v>
      </c>
      <c r="O45" s="132">
        <v>3413</v>
      </c>
      <c r="P45" s="64">
        <v>3333</v>
      </c>
      <c r="Q45" s="64">
        <v>3950</v>
      </c>
      <c r="R45" s="127">
        <v>3804</v>
      </c>
      <c r="S45" s="132">
        <v>4204</v>
      </c>
      <c r="T45" s="64">
        <v>4028</v>
      </c>
      <c r="U45" s="64">
        <v>4290</v>
      </c>
      <c r="V45" s="127">
        <v>4428</v>
      </c>
      <c r="W45" s="132">
        <v>3550</v>
      </c>
      <c r="X45" s="64">
        <v>3730</v>
      </c>
      <c r="Y45" s="64">
        <v>3330</v>
      </c>
      <c r="Z45" s="74">
        <f>Z30*Z46</f>
        <v>3458.3128345569735</v>
      </c>
      <c r="AA45" s="140">
        <f t="shared" ref="AA45:AH45" si="116">AA30*AA46</f>
        <v>3709.5357632544274</v>
      </c>
      <c r="AB45" s="73">
        <f t="shared" si="116"/>
        <v>4005.3602969691374</v>
      </c>
      <c r="AC45" s="73">
        <f t="shared" si="116"/>
        <v>4394.8290627973302</v>
      </c>
      <c r="AD45" s="74">
        <f t="shared" si="116"/>
        <v>4656.4135882907576</v>
      </c>
      <c r="AE45" s="140">
        <f t="shared" si="116"/>
        <v>5017.8475806444021</v>
      </c>
      <c r="AF45" s="73">
        <f t="shared" si="116"/>
        <v>5442.136740998084</v>
      </c>
      <c r="AG45" s="73">
        <f t="shared" si="116"/>
        <v>5991.5351172424225</v>
      </c>
      <c r="AH45" s="74">
        <f t="shared" si="116"/>
        <v>6391.7029784628894</v>
      </c>
    </row>
    <row r="46" spans="2:34">
      <c r="B46" s="79" t="s">
        <v>132</v>
      </c>
      <c r="C46" s="80">
        <f>C45/C30</f>
        <v>0.20373730043541363</v>
      </c>
      <c r="D46" s="80">
        <f t="shared" ref="D46:Y46" si="117">D45/D30</f>
        <v>0.18421449013405633</v>
      </c>
      <c r="E46" s="80">
        <f t="shared" si="117"/>
        <v>0.18044041450777201</v>
      </c>
      <c r="F46" s="151">
        <f t="shared" si="117"/>
        <v>0.25978167545688702</v>
      </c>
      <c r="G46" s="164">
        <f t="shared" si="117"/>
        <v>0.15828468792096992</v>
      </c>
      <c r="H46" s="80">
        <f t="shared" si="117"/>
        <v>0.16909057437407954</v>
      </c>
      <c r="I46" s="80">
        <f t="shared" si="117"/>
        <v>0.14861616647208295</v>
      </c>
      <c r="J46" s="151">
        <f t="shared" si="117"/>
        <v>0.15075605165812186</v>
      </c>
      <c r="K46" s="164">
        <f t="shared" si="117"/>
        <v>0.13556799237913789</v>
      </c>
      <c r="L46" s="80">
        <f t="shared" si="117"/>
        <v>0.13667711598746082</v>
      </c>
      <c r="M46" s="80">
        <f t="shared" si="117"/>
        <v>0.15144020948501599</v>
      </c>
      <c r="N46" s="151">
        <f t="shared" si="117"/>
        <v>0.13446134075819233</v>
      </c>
      <c r="O46" s="164">
        <f t="shared" si="117"/>
        <v>0.14575503928937478</v>
      </c>
      <c r="P46" s="80">
        <f t="shared" si="117"/>
        <v>0.13233542444215041</v>
      </c>
      <c r="Q46" s="80">
        <f t="shared" si="117"/>
        <v>0.13857218031924223</v>
      </c>
      <c r="R46" s="151">
        <f t="shared" si="117"/>
        <v>0.16779885310983678</v>
      </c>
      <c r="S46" s="164">
        <f t="shared" si="117"/>
        <v>0.27996803409696325</v>
      </c>
      <c r="T46" s="80">
        <f t="shared" si="117"/>
        <v>0.24272371196143416</v>
      </c>
      <c r="U46" s="80">
        <f t="shared" si="117"/>
        <v>0.23470839260312945</v>
      </c>
      <c r="V46" s="151">
        <f t="shared" si="117"/>
        <v>0.23165053622809312</v>
      </c>
      <c r="W46" s="164">
        <f t="shared" si="117"/>
        <v>0.18513689700130379</v>
      </c>
      <c r="X46" s="80">
        <f t="shared" si="117"/>
        <v>0.18089233753637246</v>
      </c>
      <c r="Y46" s="80">
        <f t="shared" si="117"/>
        <v>0.15177757520510482</v>
      </c>
      <c r="Z46" s="82">
        <v>0.15</v>
      </c>
      <c r="AA46" s="176">
        <v>0.15</v>
      </c>
      <c r="AB46" s="81">
        <v>0.15</v>
      </c>
      <c r="AC46" s="81">
        <v>0.15</v>
      </c>
      <c r="AD46" s="82">
        <v>0.15</v>
      </c>
      <c r="AE46" s="176">
        <v>0.15</v>
      </c>
      <c r="AF46" s="81">
        <v>0.15</v>
      </c>
      <c r="AG46" s="81">
        <v>0.15</v>
      </c>
      <c r="AH46" s="82">
        <v>0.15</v>
      </c>
    </row>
    <row r="48" spans="2:34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2:2">
      <c r="B49" s="6"/>
    </row>
  </sheetData>
  <dataValidations disablePrompts="1" count="1">
    <dataValidation allowBlank="1" sqref="B8 B12" xr:uid="{5733E53E-3A8C-4CC7-A5AB-3D598D4C9E3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F956-ABFA-40B8-BF08-12147C5BB28C}">
  <dimension ref="B2:BD35"/>
  <sheetViews>
    <sheetView workbookViewId="0">
      <pane xSplit="2" ySplit="3" topLeftCell="C4" activePane="bottomRight" state="frozen"/>
      <selection pane="bottomLeft" activeCell="A4" sqref="A4"/>
      <selection pane="topRight" activeCell="C1" sqref="C1"/>
      <selection pane="bottomRight" activeCell="A4" sqref="A4"/>
    </sheetView>
  </sheetViews>
  <sheetFormatPr defaultColWidth="8.7421875" defaultRowHeight="15"/>
  <cols>
    <col min="1" max="1" width="7.6640625" style="36" customWidth="1"/>
    <col min="2" max="2" width="36.58984375" style="36" bestFit="1" customWidth="1"/>
    <col min="3" max="22" width="7.3984375" style="36" bestFit="1" customWidth="1"/>
    <col min="23" max="25" width="6.58984375" style="36" bestFit="1" customWidth="1"/>
    <col min="26" max="26" width="9.4140625" style="36" bestFit="1" customWidth="1"/>
    <col min="27" max="34" width="8.33984375" style="36" bestFit="1" customWidth="1"/>
    <col min="35" max="35" width="2.82421875" style="36" bestFit="1" customWidth="1"/>
    <col min="36" max="36" width="11.296875" style="36" customWidth="1"/>
    <col min="37" max="37" width="10.4921875" style="36" customWidth="1"/>
    <col min="38" max="38" width="8.203125" style="36" customWidth="1"/>
    <col min="39" max="39" width="10.0859375" style="36" customWidth="1"/>
    <col min="40" max="40" width="10.76171875" style="36" customWidth="1"/>
    <col min="41" max="41" width="9.81640625" style="36" customWidth="1"/>
    <col min="42" max="42" width="10.625" style="36" customWidth="1"/>
    <col min="43" max="43" width="10.76171875" style="36" customWidth="1"/>
    <col min="44" max="16384" width="8.7421875" style="36"/>
  </cols>
  <sheetData>
    <row r="2" spans="2:56">
      <c r="AI2" s="86"/>
      <c r="AJ2" s="87"/>
      <c r="AK2" s="87"/>
      <c r="AL2" s="88"/>
      <c r="AM2" s="87"/>
      <c r="AN2" s="87"/>
      <c r="AO2" s="87"/>
      <c r="AP2" s="87"/>
      <c r="AQ2" s="87"/>
      <c r="AS2" s="87"/>
      <c r="AT2" s="87"/>
      <c r="AU2" s="87"/>
      <c r="AV2" s="87"/>
      <c r="AW2" s="89"/>
      <c r="AX2" s="89"/>
      <c r="AY2" s="89"/>
      <c r="AZ2" s="89"/>
      <c r="BA2" s="89"/>
      <c r="BB2" s="89"/>
      <c r="BC2" s="89"/>
      <c r="BD2" s="89"/>
    </row>
    <row r="3" spans="2:56">
      <c r="B3" s="90" t="s">
        <v>68</v>
      </c>
      <c r="C3" s="91" t="s">
        <v>0</v>
      </c>
      <c r="D3" s="91" t="s">
        <v>1</v>
      </c>
      <c r="E3" s="91" t="s">
        <v>2</v>
      </c>
      <c r="F3" s="91" t="s">
        <v>3</v>
      </c>
      <c r="G3" s="91" t="s">
        <v>4</v>
      </c>
      <c r="H3" s="91" t="s">
        <v>5</v>
      </c>
      <c r="I3" s="91" t="s">
        <v>6</v>
      </c>
      <c r="J3" s="91" t="s">
        <v>7</v>
      </c>
      <c r="K3" s="91" t="s">
        <v>8</v>
      </c>
      <c r="L3" s="91" t="s">
        <v>9</v>
      </c>
      <c r="M3" s="91" t="s">
        <v>10</v>
      </c>
      <c r="N3" s="91" t="s">
        <v>11</v>
      </c>
      <c r="O3" s="91" t="s">
        <v>12</v>
      </c>
      <c r="P3" s="91" t="s">
        <v>13</v>
      </c>
      <c r="Q3" s="91" t="s">
        <v>14</v>
      </c>
      <c r="R3" s="91" t="s">
        <v>15</v>
      </c>
      <c r="S3" s="91" t="s">
        <v>16</v>
      </c>
      <c r="T3" s="91" t="s">
        <v>17</v>
      </c>
      <c r="U3" s="91" t="s">
        <v>18</v>
      </c>
      <c r="V3" s="91" t="s">
        <v>19</v>
      </c>
      <c r="W3" s="91" t="s">
        <v>20</v>
      </c>
      <c r="X3" s="91" t="s">
        <v>21</v>
      </c>
      <c r="Y3" s="91" t="s">
        <v>22</v>
      </c>
      <c r="Z3" s="91" t="s">
        <v>23</v>
      </c>
      <c r="AA3" s="91" t="s">
        <v>24</v>
      </c>
      <c r="AB3" s="91" t="s">
        <v>25</v>
      </c>
      <c r="AC3" s="91" t="s">
        <v>26</v>
      </c>
      <c r="AD3" s="91" t="s">
        <v>27</v>
      </c>
      <c r="AE3" s="91" t="s">
        <v>28</v>
      </c>
      <c r="AF3" s="91" t="s">
        <v>29</v>
      </c>
      <c r="AG3" s="91" t="s">
        <v>30</v>
      </c>
      <c r="AH3" s="91" t="s">
        <v>31</v>
      </c>
      <c r="AI3" s="86"/>
      <c r="AJ3" s="91" t="s">
        <v>32</v>
      </c>
      <c r="AK3" s="91" t="s">
        <v>33</v>
      </c>
      <c r="AL3" s="91" t="s">
        <v>34</v>
      </c>
      <c r="AM3" s="91" t="s">
        <v>35</v>
      </c>
      <c r="AN3" s="91" t="s">
        <v>36</v>
      </c>
      <c r="AO3" s="91" t="s">
        <v>37</v>
      </c>
      <c r="AP3" s="91" t="s">
        <v>38</v>
      </c>
      <c r="AQ3" s="91" t="s">
        <v>39</v>
      </c>
      <c r="AT3" s="87"/>
    </row>
    <row r="4" spans="2:56">
      <c r="B4" s="92" t="s">
        <v>40</v>
      </c>
      <c r="C4" s="64">
        <v>4064</v>
      </c>
      <c r="D4" s="64">
        <v>4725</v>
      </c>
      <c r="E4" s="64">
        <v>5233</v>
      </c>
      <c r="F4" s="127">
        <v>5786</v>
      </c>
      <c r="G4" s="132">
        <v>6345</v>
      </c>
      <c r="H4" s="64">
        <v>7539</v>
      </c>
      <c r="I4" s="64">
        <v>9916</v>
      </c>
      <c r="J4" s="127">
        <v>10405</v>
      </c>
      <c r="K4" s="132">
        <v>10760</v>
      </c>
      <c r="L4" s="64">
        <v>11730</v>
      </c>
      <c r="M4" s="64">
        <v>11530</v>
      </c>
      <c r="N4" s="127">
        <v>14420</v>
      </c>
      <c r="O4" s="132">
        <v>13960</v>
      </c>
      <c r="P4" s="64">
        <v>15006</v>
      </c>
      <c r="Q4" s="64">
        <v>16790</v>
      </c>
      <c r="R4" s="127">
        <v>15550</v>
      </c>
      <c r="S4" s="132">
        <v>8840</v>
      </c>
      <c r="T4" s="64">
        <v>9460</v>
      </c>
      <c r="U4" s="64">
        <v>10030</v>
      </c>
      <c r="V4" s="127">
        <v>10460</v>
      </c>
      <c r="W4" s="132">
        <v>10440</v>
      </c>
      <c r="X4" s="64">
        <v>11460</v>
      </c>
      <c r="Y4" s="64">
        <v>11920</v>
      </c>
      <c r="Z4" s="137">
        <f>'Revenue &amp; Cost'!Z17</f>
        <v>12080.91198924731</v>
      </c>
      <c r="AA4" s="141">
        <f>'Revenue &amp; Cost'!AA17</f>
        <v>12694.752922755011</v>
      </c>
      <c r="AB4" s="93">
        <f>'Revenue &amp; Cost'!AB17</f>
        <v>13485.777082652901</v>
      </c>
      <c r="AC4" s="93">
        <f>'Revenue &amp; Cost'!AC17</f>
        <v>14765.244852959995</v>
      </c>
      <c r="AD4" s="137">
        <f>'Revenue &amp; Cost'!AD17</f>
        <v>15038.282808184489</v>
      </c>
      <c r="AE4" s="141">
        <f>'Revenue &amp; Cost'!AE17</f>
        <v>15802.39015087062</v>
      </c>
      <c r="AF4" s="93">
        <f>'Revenue &amp; Cost'!AF17</f>
        <v>16787.054639382652</v>
      </c>
      <c r="AG4" s="93">
        <f>'Revenue &amp; Cost'!AG17</f>
        <v>18379.732260986126</v>
      </c>
      <c r="AH4" s="137">
        <f>'Revenue &amp; Cost'!AH17</f>
        <v>18719.609084167103</v>
      </c>
      <c r="AJ4" s="73">
        <f t="shared" ref="AJ4:AJ7" si="0">SUM(C4:F4)</f>
        <v>19808</v>
      </c>
      <c r="AK4" s="73">
        <f t="shared" ref="AK4:AK7" si="1">SUM(G4:J4)</f>
        <v>34205</v>
      </c>
      <c r="AL4" s="73">
        <f t="shared" ref="AL4:AL7" si="2">SUM(K4:N4)</f>
        <v>48440</v>
      </c>
      <c r="AM4" s="73">
        <f t="shared" ref="AM4:AM7" si="3">SUM(O4:R4)</f>
        <v>61306</v>
      </c>
      <c r="AN4" s="73">
        <f t="shared" ref="AN4:AN7" si="4">SUM(S4:V4)</f>
        <v>38790</v>
      </c>
      <c r="AO4" s="73">
        <f t="shared" ref="AO4:AO7" si="5">SUM(W4:Z4)</f>
        <v>45900.91198924731</v>
      </c>
      <c r="AP4" s="73">
        <f t="shared" ref="AP4:AP7" si="6">SUM(AA4:AD4)</f>
        <v>55984.057666552399</v>
      </c>
      <c r="AQ4" s="73">
        <f t="shared" ref="AQ4:AQ7" si="7">SUM(AE4:AH4)</f>
        <v>69688.786135406495</v>
      </c>
    </row>
    <row r="5" spans="2:56">
      <c r="B5" s="92" t="s">
        <v>41</v>
      </c>
      <c r="C5" s="64">
        <v>234</v>
      </c>
      <c r="D5" s="64">
        <v>253</v>
      </c>
      <c r="E5" s="64">
        <v>416</v>
      </c>
      <c r="F5" s="127">
        <v>381</v>
      </c>
      <c r="G5" s="132">
        <v>549</v>
      </c>
      <c r="H5" s="64">
        <v>887</v>
      </c>
      <c r="I5" s="64">
        <v>1252</v>
      </c>
      <c r="J5" s="127">
        <v>1684</v>
      </c>
      <c r="K5" s="132">
        <v>2710</v>
      </c>
      <c r="L5" s="64">
        <v>3490</v>
      </c>
      <c r="M5" s="64">
        <v>4460</v>
      </c>
      <c r="N5" s="127">
        <v>4750</v>
      </c>
      <c r="O5" s="132">
        <v>5220</v>
      </c>
      <c r="P5" s="64">
        <v>5710</v>
      </c>
      <c r="Q5" s="64">
        <v>6070</v>
      </c>
      <c r="R5" s="127">
        <v>3040</v>
      </c>
      <c r="S5" s="132">
        <v>2800</v>
      </c>
      <c r="T5" s="64">
        <v>3760</v>
      </c>
      <c r="U5" s="64">
        <v>5020</v>
      </c>
      <c r="V5" s="127">
        <v>5450</v>
      </c>
      <c r="W5" s="132">
        <v>5605</v>
      </c>
      <c r="X5" s="64">
        <v>6110</v>
      </c>
      <c r="Y5" s="64">
        <v>6720</v>
      </c>
      <c r="Z5" s="137">
        <f>'Revenue &amp; Cost'!Z19</f>
        <v>7390.9001636661205</v>
      </c>
      <c r="AA5" s="141">
        <f>'Revenue &amp; Cost'!AA19</f>
        <v>8128.7805400714124</v>
      </c>
      <c r="AB5" s="93">
        <f>'Revenue &amp; Cost'!AB19</f>
        <v>8940.3281880981813</v>
      </c>
      <c r="AC5" s="93">
        <f>'Revenue &amp; Cost'!AC19</f>
        <v>9832.8977780719761</v>
      </c>
      <c r="AD5" s="137">
        <f>'Revenue &amp; Cost'!AD19</f>
        <v>10814.578243640537</v>
      </c>
      <c r="AE5" s="141">
        <f>'Revenue &amp; Cost'!AE19</f>
        <v>11894.266087931981</v>
      </c>
      <c r="AF5" s="93">
        <f>'Revenue &amp; Cost'!AF19</f>
        <v>13081.746008331082</v>
      </c>
      <c r="AG5" s="93">
        <f>'Revenue &amp; Cost'!AG19</f>
        <v>14387.779570537621</v>
      </c>
      <c r="AH5" s="137">
        <f>'Revenue &amp; Cost'!AH19</f>
        <v>15824.202735517645</v>
      </c>
      <c r="AJ5" s="73">
        <f t="shared" si="0"/>
        <v>1284</v>
      </c>
      <c r="AK5" s="73">
        <f t="shared" si="1"/>
        <v>4372</v>
      </c>
      <c r="AL5" s="73">
        <f t="shared" si="2"/>
        <v>15410</v>
      </c>
      <c r="AM5" s="73">
        <f t="shared" si="3"/>
        <v>20040</v>
      </c>
      <c r="AN5" s="73">
        <f t="shared" si="4"/>
        <v>17030</v>
      </c>
      <c r="AO5" s="73">
        <f t="shared" si="5"/>
        <v>25825.90016366612</v>
      </c>
      <c r="AP5" s="73">
        <f t="shared" si="6"/>
        <v>37716.584749882109</v>
      </c>
      <c r="AQ5" s="73">
        <f t="shared" si="7"/>
        <v>55187.994402318327</v>
      </c>
    </row>
    <row r="6" spans="2:56">
      <c r="B6" s="92" t="s">
        <v>133</v>
      </c>
      <c r="C6" s="64">
        <v>1214</v>
      </c>
      <c r="D6" s="64">
        <v>1661</v>
      </c>
      <c r="E6" s="64">
        <v>2071</v>
      </c>
      <c r="F6" s="127">
        <v>1986</v>
      </c>
      <c r="G6" s="132">
        <v>2014</v>
      </c>
      <c r="H6" s="64">
        <v>2438</v>
      </c>
      <c r="I6" s="64">
        <v>3393</v>
      </c>
      <c r="J6" s="127">
        <v>3203</v>
      </c>
      <c r="K6" s="132">
        <v>3329</v>
      </c>
      <c r="L6" s="64">
        <v>3770</v>
      </c>
      <c r="M6" s="64">
        <v>4200</v>
      </c>
      <c r="N6" s="127">
        <v>3930</v>
      </c>
      <c r="O6" s="132">
        <v>4050</v>
      </c>
      <c r="P6" s="64">
        <v>4230</v>
      </c>
      <c r="Q6" s="64">
        <v>5140</v>
      </c>
      <c r="R6" s="127">
        <v>3950</v>
      </c>
      <c r="S6" s="132">
        <v>3210</v>
      </c>
      <c r="T6" s="64">
        <v>3020</v>
      </c>
      <c r="U6" s="64">
        <v>2670</v>
      </c>
      <c r="V6" s="127">
        <v>2670</v>
      </c>
      <c r="W6" s="132">
        <v>2465</v>
      </c>
      <c r="X6" s="64">
        <v>2280</v>
      </c>
      <c r="Y6" s="64">
        <v>2380</v>
      </c>
      <c r="Z6" s="137">
        <f>'Revenue &amp; Cost'!Z23</f>
        <v>2484.3859649122805</v>
      </c>
      <c r="AA6" s="141">
        <f>'Revenue &amp; Cost'!AA23</f>
        <v>2593.3502616189594</v>
      </c>
      <c r="AB6" s="93">
        <f>'Revenue &amp; Cost'!AB23</f>
        <v>2707.0936941461064</v>
      </c>
      <c r="AC6" s="93">
        <f>'Revenue &amp; Cost'!AC23</f>
        <v>2825.8258737139176</v>
      </c>
      <c r="AD6" s="137">
        <f>'Revenue &amp; Cost'!AD23</f>
        <v>2949.7656050171595</v>
      </c>
      <c r="AE6" s="141">
        <f>'Revenue &amp; Cost'!AE23</f>
        <v>3079.1412894477362</v>
      </c>
      <c r="AF6" s="93">
        <f>'Revenue &amp; Cost'!AF23</f>
        <v>3214.1913460024612</v>
      </c>
      <c r="AG6" s="93">
        <f>'Revenue &amp; Cost'!AG23</f>
        <v>3355.1646506516918</v>
      </c>
      <c r="AH6" s="137">
        <f>'Revenue &amp; Cost'!AH23</f>
        <v>3502.32099497852</v>
      </c>
      <c r="AJ6" s="73">
        <f t="shared" si="0"/>
        <v>6932</v>
      </c>
      <c r="AK6" s="73">
        <f t="shared" si="1"/>
        <v>11048</v>
      </c>
      <c r="AL6" s="73">
        <f t="shared" si="2"/>
        <v>15229</v>
      </c>
      <c r="AM6" s="73">
        <f t="shared" si="3"/>
        <v>17370</v>
      </c>
      <c r="AN6" s="73">
        <f t="shared" si="4"/>
        <v>11570</v>
      </c>
      <c r="AO6" s="73">
        <f t="shared" si="5"/>
        <v>9609.3859649122805</v>
      </c>
      <c r="AP6" s="73">
        <f t="shared" si="6"/>
        <v>11076.035434496143</v>
      </c>
      <c r="AQ6" s="73">
        <f t="shared" si="7"/>
        <v>13150.818281080408</v>
      </c>
    </row>
    <row r="7" spans="2:56">
      <c r="B7" s="92" t="s">
        <v>42</v>
      </c>
      <c r="C7" s="64">
        <v>0</v>
      </c>
      <c r="D7" s="64">
        <v>0</v>
      </c>
      <c r="E7" s="64">
        <v>0</v>
      </c>
      <c r="F7" s="127">
        <v>0</v>
      </c>
      <c r="G7" s="132">
        <v>0</v>
      </c>
      <c r="H7" s="64">
        <v>0</v>
      </c>
      <c r="I7" s="64">
        <v>0</v>
      </c>
      <c r="J7" s="127">
        <v>117</v>
      </c>
      <c r="K7" s="132">
        <v>-3</v>
      </c>
      <c r="L7" s="64">
        <v>150</v>
      </c>
      <c r="M7" s="64">
        <v>432</v>
      </c>
      <c r="N7" s="127">
        <v>245</v>
      </c>
      <c r="O7" s="132">
        <v>186</v>
      </c>
      <c r="P7" s="64">
        <v>240</v>
      </c>
      <c r="Q7" s="64">
        <v>505</v>
      </c>
      <c r="R7" s="127">
        <v>130</v>
      </c>
      <c r="S7" s="132">
        <v>166</v>
      </c>
      <c r="T7" s="64">
        <v>355</v>
      </c>
      <c r="U7" s="64">
        <v>558</v>
      </c>
      <c r="V7" s="127">
        <v>535</v>
      </c>
      <c r="W7" s="132">
        <v>665</v>
      </c>
      <c r="X7" s="64">
        <v>770</v>
      </c>
      <c r="Y7" s="64">
        <v>920</v>
      </c>
      <c r="Z7" s="137">
        <f>'Revenue &amp; Cost'!Z27</f>
        <v>1099.2207792207791</v>
      </c>
      <c r="AA7" s="141">
        <f>'Revenue &amp; Cost'!AA27</f>
        <v>1313.3546972508011</v>
      </c>
      <c r="AB7" s="93">
        <f>'Revenue &amp; Cost'!AB27</f>
        <v>1569.2030148970609</v>
      </c>
      <c r="AC7" s="93">
        <f>'Revenue &amp; Cost'!AC27</f>
        <v>1874.8919139029817</v>
      </c>
      <c r="AD7" s="137">
        <f>'Revenue &amp; Cost'!AD27</f>
        <v>2240.1305984295363</v>
      </c>
      <c r="AE7" s="141">
        <f>'Revenue &amp; Cost'!AE27</f>
        <v>2676.5196760456797</v>
      </c>
      <c r="AF7" s="93">
        <f>'Revenue &amp; Cost'!AF27</f>
        <v>3197.9196129376951</v>
      </c>
      <c r="AG7" s="93">
        <f>'Revenue &amp; Cost'!AG27</f>
        <v>3820.8909661073758</v>
      </c>
      <c r="AH7" s="137">
        <f>'Revenue &amp; Cost'!AH27</f>
        <v>4565.2203750893323</v>
      </c>
      <c r="AJ7" s="73">
        <f t="shared" si="0"/>
        <v>0</v>
      </c>
      <c r="AK7" s="73">
        <f t="shared" si="1"/>
        <v>117</v>
      </c>
      <c r="AL7" s="73">
        <f t="shared" si="2"/>
        <v>824</v>
      </c>
      <c r="AM7" s="73">
        <f t="shared" si="3"/>
        <v>1061</v>
      </c>
      <c r="AN7" s="73">
        <f t="shared" si="4"/>
        <v>1614</v>
      </c>
      <c r="AO7" s="73">
        <f t="shared" si="5"/>
        <v>3454.2207792207791</v>
      </c>
      <c r="AP7" s="73">
        <f t="shared" si="6"/>
        <v>6997.5802244803799</v>
      </c>
      <c r="AQ7" s="73">
        <f t="shared" si="7"/>
        <v>14260.550630180081</v>
      </c>
    </row>
    <row r="8" spans="2:56">
      <c r="B8" s="8" t="s">
        <v>43</v>
      </c>
      <c r="C8" s="9">
        <f>SUM(C4:C7)</f>
        <v>5512</v>
      </c>
      <c r="D8" s="9">
        <f t="shared" ref="D8:AH8" si="8">SUM(D4:D7)</f>
        <v>6639</v>
      </c>
      <c r="E8" s="9">
        <f t="shared" si="8"/>
        <v>7720</v>
      </c>
      <c r="F8" s="70">
        <f t="shared" si="8"/>
        <v>8153</v>
      </c>
      <c r="G8" s="152">
        <f t="shared" si="8"/>
        <v>8908</v>
      </c>
      <c r="H8" s="9">
        <f t="shared" si="8"/>
        <v>10864</v>
      </c>
      <c r="I8" s="9">
        <f t="shared" si="8"/>
        <v>14561</v>
      </c>
      <c r="J8" s="70">
        <f t="shared" si="8"/>
        <v>15409</v>
      </c>
      <c r="K8" s="152">
        <f t="shared" si="8"/>
        <v>16796</v>
      </c>
      <c r="L8" s="9">
        <f t="shared" si="8"/>
        <v>19140</v>
      </c>
      <c r="M8" s="9">
        <f t="shared" si="8"/>
        <v>20622</v>
      </c>
      <c r="N8" s="70">
        <f t="shared" si="8"/>
        <v>23345</v>
      </c>
      <c r="O8" s="152">
        <f t="shared" si="8"/>
        <v>23416</v>
      </c>
      <c r="P8" s="9">
        <f t="shared" si="8"/>
        <v>25186</v>
      </c>
      <c r="Q8" s="9">
        <f t="shared" si="8"/>
        <v>28505</v>
      </c>
      <c r="R8" s="70">
        <f t="shared" si="8"/>
        <v>22670</v>
      </c>
      <c r="S8" s="152">
        <f t="shared" si="8"/>
        <v>15016</v>
      </c>
      <c r="T8" s="9">
        <f t="shared" si="8"/>
        <v>16595</v>
      </c>
      <c r="U8" s="126">
        <f t="shared" si="8"/>
        <v>18278</v>
      </c>
      <c r="V8" s="70">
        <f t="shared" si="8"/>
        <v>19115</v>
      </c>
      <c r="W8" s="152">
        <f t="shared" si="8"/>
        <v>19175</v>
      </c>
      <c r="X8" s="9">
        <f t="shared" si="8"/>
        <v>20620</v>
      </c>
      <c r="Y8" s="9">
        <f t="shared" si="8"/>
        <v>21940</v>
      </c>
      <c r="Z8" s="153">
        <f t="shared" si="8"/>
        <v>23055.418897046489</v>
      </c>
      <c r="AA8" s="154">
        <f t="shared" si="8"/>
        <v>24730.238421696184</v>
      </c>
      <c r="AB8" s="126">
        <f t="shared" si="8"/>
        <v>26702.401979794253</v>
      </c>
      <c r="AC8" s="126">
        <f t="shared" si="8"/>
        <v>29298.860418648874</v>
      </c>
      <c r="AD8" s="153">
        <f t="shared" si="8"/>
        <v>31042.757255271725</v>
      </c>
      <c r="AE8" s="154">
        <f t="shared" si="8"/>
        <v>33452.317204296014</v>
      </c>
      <c r="AF8" s="126">
        <f t="shared" si="8"/>
        <v>36280.911606653885</v>
      </c>
      <c r="AG8" s="126">
        <f t="shared" si="8"/>
        <v>39943.567448282818</v>
      </c>
      <c r="AH8" s="153">
        <f t="shared" si="8"/>
        <v>42611.353189752605</v>
      </c>
      <c r="AI8" s="9"/>
      <c r="AJ8" s="126">
        <f>SUM(C8:F8)</f>
        <v>28024</v>
      </c>
      <c r="AK8" s="126">
        <f>SUM(G8:J8)</f>
        <v>49742</v>
      </c>
      <c r="AL8" s="126">
        <f>SUM(K8:N8)</f>
        <v>79903</v>
      </c>
      <c r="AM8" s="126">
        <f>SUM(O8:R8)</f>
        <v>99777</v>
      </c>
      <c r="AN8" s="126">
        <f>SUM(S8:V8)</f>
        <v>69004</v>
      </c>
      <c r="AO8" s="126">
        <f>SUM(W8:Z8)</f>
        <v>84790.418897046489</v>
      </c>
      <c r="AP8" s="126">
        <f>SUM(AA8:AD8)</f>
        <v>111774.25807541102</v>
      </c>
      <c r="AQ8" s="126">
        <f>SUM(AE8:AH8)</f>
        <v>152288.14944898532</v>
      </c>
    </row>
    <row r="9" spans="2:56">
      <c r="B9" s="36" t="s">
        <v>44</v>
      </c>
      <c r="C9" s="64">
        <v>3980</v>
      </c>
      <c r="D9" s="64">
        <v>4924</v>
      </c>
      <c r="E9" s="64">
        <v>5177</v>
      </c>
      <c r="F9" s="127">
        <v>5087</v>
      </c>
      <c r="G9" s="132">
        <v>5265</v>
      </c>
      <c r="H9" s="64">
        <v>6700</v>
      </c>
      <c r="I9" s="64">
        <v>7831</v>
      </c>
      <c r="J9" s="127">
        <v>7742</v>
      </c>
      <c r="K9" s="132">
        <v>6938</v>
      </c>
      <c r="L9" s="64">
        <v>7458</v>
      </c>
      <c r="M9" s="64">
        <v>7378</v>
      </c>
      <c r="N9" s="127">
        <v>7803</v>
      </c>
      <c r="O9" s="132">
        <v>7666</v>
      </c>
      <c r="P9" s="64">
        <v>8167</v>
      </c>
      <c r="Q9" s="64">
        <v>9822</v>
      </c>
      <c r="R9" s="127">
        <v>7148</v>
      </c>
      <c r="S9" s="132">
        <v>5171</v>
      </c>
      <c r="T9" s="64">
        <v>5168</v>
      </c>
      <c r="U9" s="64">
        <v>5704</v>
      </c>
      <c r="V9" s="127">
        <v>5204</v>
      </c>
      <c r="W9" s="132">
        <v>5809</v>
      </c>
      <c r="X9" s="64">
        <v>6290</v>
      </c>
      <c r="Y9" s="64">
        <v>6710</v>
      </c>
      <c r="Z9" s="74">
        <f>'Revenue &amp; Cost'!Z33</f>
        <v>6800.5804905913965</v>
      </c>
      <c r="AA9" s="140">
        <f>'Revenue &amp; Cost'!AA33</f>
        <v>7146.1234993025264</v>
      </c>
      <c r="AB9" s="73">
        <f>'Revenue &amp; Cost'!AB33</f>
        <v>7591.4063946812894</v>
      </c>
      <c r="AC9" s="73">
        <f>'Revenue &amp; Cost'!AC33</f>
        <v>8311.643704979997</v>
      </c>
      <c r="AD9" s="74">
        <f>'Revenue &amp; Cost'!AD33</f>
        <v>8465.3420841374082</v>
      </c>
      <c r="AE9" s="140">
        <f>'Revenue &amp; Cost'!AE33</f>
        <v>8895.4729792233102</v>
      </c>
      <c r="AF9" s="73">
        <f>'Revenue &amp; Cost'!AF33</f>
        <v>9449.7597844175816</v>
      </c>
      <c r="AG9" s="73">
        <f>'Revenue &amp; Cost'!AG33</f>
        <v>10346.309016041687</v>
      </c>
      <c r="AH9" s="74">
        <f>'Revenue &amp; Cost'!AH33</f>
        <v>10537.63229486252</v>
      </c>
      <c r="AJ9" s="73">
        <f t="shared" ref="AJ9:AJ33" si="9">SUM(C9:F9)</f>
        <v>19168</v>
      </c>
      <c r="AK9" s="73">
        <f t="shared" ref="AK9:AK33" si="10">SUM(G9:J9)</f>
        <v>27538</v>
      </c>
      <c r="AL9" s="73">
        <f t="shared" ref="AL9:AL33" si="11">SUM(K9:N9)</f>
        <v>29577</v>
      </c>
      <c r="AM9" s="73">
        <f t="shared" ref="AM9:AM33" si="12">SUM(O9:R9)</f>
        <v>32803</v>
      </c>
      <c r="AN9" s="73">
        <f t="shared" ref="AN9:AN33" si="13">SUM(S9:V9)</f>
        <v>21247</v>
      </c>
      <c r="AO9" s="73">
        <f t="shared" ref="AO9:AO33" si="14">SUM(W9:Z9)</f>
        <v>25609.580490591397</v>
      </c>
      <c r="AP9" s="73">
        <f t="shared" ref="AP9:AP33" si="15">SUM(AA9:AD9)</f>
        <v>31514.515683101221</v>
      </c>
      <c r="AQ9" s="73">
        <f t="shared" ref="AQ9:AQ33" si="16">SUM(AE9:AH9)</f>
        <v>39229.174074545095</v>
      </c>
    </row>
    <row r="10" spans="2:56">
      <c r="B10" s="36" t="s">
        <v>45</v>
      </c>
      <c r="C10" s="64">
        <v>841</v>
      </c>
      <c r="D10" s="64">
        <v>1365</v>
      </c>
      <c r="E10" s="64">
        <v>2118</v>
      </c>
      <c r="F10" s="127">
        <v>1001</v>
      </c>
      <c r="G10" s="132">
        <v>1377</v>
      </c>
      <c r="H10" s="64">
        <v>1857</v>
      </c>
      <c r="I10" s="64">
        <v>2831</v>
      </c>
      <c r="J10" s="127">
        <v>2489</v>
      </c>
      <c r="K10" s="132">
        <v>3181</v>
      </c>
      <c r="L10" s="64">
        <v>3275</v>
      </c>
      <c r="M10" s="64">
        <v>2263</v>
      </c>
      <c r="N10" s="127">
        <v>2045</v>
      </c>
      <c r="O10" s="132">
        <v>2653</v>
      </c>
      <c r="P10" s="64">
        <v>2528</v>
      </c>
      <c r="Q10" s="64">
        <v>2752</v>
      </c>
      <c r="R10" s="127">
        <v>1287</v>
      </c>
      <c r="S10" s="132">
        <v>2214</v>
      </c>
      <c r="T10" s="64">
        <v>1544</v>
      </c>
      <c r="U10" s="64">
        <v>1409</v>
      </c>
      <c r="V10" s="127">
        <v>1427</v>
      </c>
      <c r="W10" s="132">
        <v>998</v>
      </c>
      <c r="X10" s="64">
        <v>1220</v>
      </c>
      <c r="Y10" s="64">
        <v>1460</v>
      </c>
      <c r="Z10" s="74">
        <f>'Revenue &amp; Cost'!Z36</f>
        <v>1613.8793227932545</v>
      </c>
      <c r="AA10" s="140">
        <f>'Revenue &amp; Cost'!AA36</f>
        <v>1731.116689518733</v>
      </c>
      <c r="AB10" s="73">
        <f>'Revenue &amp; Cost'!AB36</f>
        <v>1869.1681385855977</v>
      </c>
      <c r="AC10" s="73">
        <f>'Revenue &amp; Cost'!AC36</f>
        <v>2050.9202293054209</v>
      </c>
      <c r="AD10" s="74">
        <f>'Revenue &amp; Cost'!AD36</f>
        <v>2172.9930078690209</v>
      </c>
      <c r="AE10" s="140">
        <f>'Revenue &amp; Cost'!AE36</f>
        <v>2341.662204300721</v>
      </c>
      <c r="AF10" s="73">
        <f>'Revenue &amp; Cost'!AF36</f>
        <v>2539.6638124657725</v>
      </c>
      <c r="AG10" s="73">
        <f>'Revenue &amp; Cost'!AG36</f>
        <v>2796.0497213797976</v>
      </c>
      <c r="AH10" s="74">
        <f>'Revenue &amp; Cost'!AH36</f>
        <v>2982.7947232826823</v>
      </c>
      <c r="AJ10" s="73">
        <f t="shared" si="9"/>
        <v>5325</v>
      </c>
      <c r="AK10" s="73">
        <f t="shared" si="10"/>
        <v>8554</v>
      </c>
      <c r="AL10" s="73">
        <f t="shared" si="11"/>
        <v>10764</v>
      </c>
      <c r="AM10" s="73">
        <f t="shared" si="12"/>
        <v>9220</v>
      </c>
      <c r="AN10" s="73">
        <f t="shared" si="13"/>
        <v>6594</v>
      </c>
      <c r="AO10" s="73">
        <f t="shared" si="14"/>
        <v>5291.8793227932547</v>
      </c>
      <c r="AP10" s="73">
        <f t="shared" si="15"/>
        <v>7824.1980652787734</v>
      </c>
      <c r="AQ10" s="73">
        <f t="shared" si="16"/>
        <v>10660.170461428974</v>
      </c>
    </row>
    <row r="11" spans="2:56">
      <c r="B11" s="36" t="s">
        <v>46</v>
      </c>
      <c r="C11" s="64">
        <v>2138</v>
      </c>
      <c r="D11" s="64">
        <v>2862</v>
      </c>
      <c r="E11" s="64">
        <v>3371</v>
      </c>
      <c r="F11" s="127">
        <v>3478</v>
      </c>
      <c r="G11" s="132">
        <v>3507</v>
      </c>
      <c r="H11" s="64">
        <v>3865</v>
      </c>
      <c r="I11" s="64">
        <v>8313</v>
      </c>
      <c r="J11" s="127">
        <v>8634</v>
      </c>
      <c r="K11" s="132">
        <v>9117</v>
      </c>
      <c r="L11" s="64">
        <v>9441</v>
      </c>
      <c r="M11" s="64">
        <v>9456</v>
      </c>
      <c r="N11" s="127">
        <v>9769</v>
      </c>
      <c r="O11" s="132">
        <v>11061</v>
      </c>
      <c r="P11" s="64">
        <v>11915</v>
      </c>
      <c r="Q11" s="64">
        <v>11872</v>
      </c>
      <c r="R11" s="127">
        <v>11044</v>
      </c>
      <c r="S11" s="132">
        <v>9525</v>
      </c>
      <c r="T11" s="64">
        <v>8310</v>
      </c>
      <c r="U11" s="64">
        <v>7563</v>
      </c>
      <c r="V11" s="127">
        <v>7483</v>
      </c>
      <c r="W11" s="132">
        <v>6426</v>
      </c>
      <c r="X11" s="64">
        <v>6630</v>
      </c>
      <c r="Y11" s="64">
        <v>7210</v>
      </c>
      <c r="Z11" s="74">
        <f>'Revenue &amp; Cost'!Z39</f>
        <v>6916.625669113947</v>
      </c>
      <c r="AA11" s="140">
        <f>'Revenue &amp; Cost'!AA39</f>
        <v>7419.0715265088547</v>
      </c>
      <c r="AB11" s="73">
        <f>'Revenue &amp; Cost'!AB39</f>
        <v>8010.7205939382748</v>
      </c>
      <c r="AC11" s="73">
        <f>'Revenue &amp; Cost'!AC39</f>
        <v>8789.6581255946603</v>
      </c>
      <c r="AD11" s="74">
        <f>'Revenue &amp; Cost'!AD39</f>
        <v>9312.8271765815152</v>
      </c>
      <c r="AE11" s="140">
        <f>'Revenue &amp; Cost'!AE39</f>
        <v>10035.695161288804</v>
      </c>
      <c r="AF11" s="73">
        <f>'Revenue &amp; Cost'!AF39</f>
        <v>10884.273481996168</v>
      </c>
      <c r="AG11" s="73">
        <f>'Revenue &amp; Cost'!AG39</f>
        <v>11983.070234484845</v>
      </c>
      <c r="AH11" s="74">
        <f>'Revenue &amp; Cost'!AH39</f>
        <v>12783.405956925779</v>
      </c>
      <c r="AJ11" s="73">
        <f t="shared" si="9"/>
        <v>11849</v>
      </c>
      <c r="AK11" s="73">
        <f t="shared" si="10"/>
        <v>24319</v>
      </c>
      <c r="AL11" s="73">
        <f t="shared" si="11"/>
        <v>37783</v>
      </c>
      <c r="AM11" s="73">
        <f t="shared" si="12"/>
        <v>45892</v>
      </c>
      <c r="AN11" s="73">
        <f t="shared" si="13"/>
        <v>32881</v>
      </c>
      <c r="AO11" s="73">
        <f t="shared" si="14"/>
        <v>27182.625669113946</v>
      </c>
      <c r="AP11" s="73">
        <f t="shared" si="15"/>
        <v>33532.277422623301</v>
      </c>
      <c r="AQ11" s="73">
        <f t="shared" si="16"/>
        <v>45686.444834695598</v>
      </c>
    </row>
    <row r="12" spans="2:56">
      <c r="B12" s="36" t="s">
        <v>47</v>
      </c>
      <c r="C12" s="64">
        <v>746</v>
      </c>
      <c r="D12" s="64">
        <v>721</v>
      </c>
      <c r="E12" s="64">
        <v>951</v>
      </c>
      <c r="F12" s="127">
        <v>1080</v>
      </c>
      <c r="G12" s="132">
        <v>1058</v>
      </c>
      <c r="H12" s="64">
        <v>1129</v>
      </c>
      <c r="I12" s="64">
        <v>1301</v>
      </c>
      <c r="J12" s="127">
        <v>1511</v>
      </c>
      <c r="K12" s="132">
        <v>1622</v>
      </c>
      <c r="L12" s="64">
        <v>1728</v>
      </c>
      <c r="M12" s="64">
        <v>1709</v>
      </c>
      <c r="N12" s="127">
        <v>1880</v>
      </c>
      <c r="O12" s="132">
        <v>1550</v>
      </c>
      <c r="P12" s="64">
        <v>1553</v>
      </c>
      <c r="Q12" s="64">
        <v>1704</v>
      </c>
      <c r="R12" s="127">
        <v>1623</v>
      </c>
      <c r="S12" s="132">
        <v>1824</v>
      </c>
      <c r="T12" s="64">
        <v>1578</v>
      </c>
      <c r="U12" s="64">
        <v>1536</v>
      </c>
      <c r="V12" s="127">
        <v>1459</v>
      </c>
      <c r="W12" s="132">
        <v>1677</v>
      </c>
      <c r="X12" s="64">
        <v>1330</v>
      </c>
      <c r="Y12" s="64">
        <v>1670</v>
      </c>
      <c r="Z12" s="74">
        <f>'Revenue &amp; Cost'!Z42</f>
        <v>1844.4335117637193</v>
      </c>
      <c r="AA12" s="140">
        <f>'Revenue &amp; Cost'!AA42</f>
        <v>1978.4190737356948</v>
      </c>
      <c r="AB12" s="73">
        <f>'Revenue &amp; Cost'!AB42</f>
        <v>2136.1921583835401</v>
      </c>
      <c r="AC12" s="73">
        <f>'Revenue &amp; Cost'!AC42</f>
        <v>2343.9088334919097</v>
      </c>
      <c r="AD12" s="74">
        <f>'Revenue &amp; Cost'!AD42</f>
        <v>2483.4205804217377</v>
      </c>
      <c r="AE12" s="140">
        <f>'Revenue &amp; Cost'!AE42</f>
        <v>2676.1853763436811</v>
      </c>
      <c r="AF12" s="73">
        <f>'Revenue &amp; Cost'!AF42</f>
        <v>2902.4729285323115</v>
      </c>
      <c r="AG12" s="73">
        <f>'Revenue &amp; Cost'!AG42</f>
        <v>3195.4853958626254</v>
      </c>
      <c r="AH12" s="74">
        <f>'Revenue &amp; Cost'!AH42</f>
        <v>3408.908255180208</v>
      </c>
      <c r="AJ12" s="73">
        <f t="shared" si="9"/>
        <v>3498</v>
      </c>
      <c r="AK12" s="73">
        <f t="shared" si="10"/>
        <v>4999</v>
      </c>
      <c r="AL12" s="73">
        <f t="shared" si="11"/>
        <v>6939</v>
      </c>
      <c r="AM12" s="73">
        <f t="shared" si="12"/>
        <v>6430</v>
      </c>
      <c r="AN12" s="73">
        <f t="shared" si="13"/>
        <v>6397</v>
      </c>
      <c r="AO12" s="73">
        <f t="shared" si="14"/>
        <v>6521.4335117637193</v>
      </c>
      <c r="AP12" s="73">
        <f t="shared" si="15"/>
        <v>8941.9406460328828</v>
      </c>
      <c r="AQ12" s="73">
        <f t="shared" si="16"/>
        <v>12183.051955918827</v>
      </c>
    </row>
    <row r="13" spans="2:56">
      <c r="B13" s="36" t="s">
        <v>48</v>
      </c>
      <c r="C13" s="64">
        <v>1123</v>
      </c>
      <c r="D13" s="64">
        <v>1223</v>
      </c>
      <c r="E13" s="64">
        <v>1393</v>
      </c>
      <c r="F13" s="127">
        <v>2118</v>
      </c>
      <c r="G13" s="132">
        <v>1410</v>
      </c>
      <c r="H13" s="64">
        <v>1837</v>
      </c>
      <c r="I13" s="64">
        <v>2164</v>
      </c>
      <c r="J13" s="127">
        <v>2323</v>
      </c>
      <c r="K13" s="132">
        <v>2277</v>
      </c>
      <c r="L13" s="64">
        <v>2616</v>
      </c>
      <c r="M13" s="64">
        <v>3123</v>
      </c>
      <c r="N13" s="127">
        <v>3139</v>
      </c>
      <c r="O13" s="132">
        <v>3413</v>
      </c>
      <c r="P13" s="64">
        <v>3333</v>
      </c>
      <c r="Q13" s="64">
        <v>3950</v>
      </c>
      <c r="R13" s="127">
        <v>3804</v>
      </c>
      <c r="S13" s="132">
        <v>4204</v>
      </c>
      <c r="T13" s="64">
        <v>4028</v>
      </c>
      <c r="U13" s="64">
        <v>4290</v>
      </c>
      <c r="V13" s="127">
        <v>4428</v>
      </c>
      <c r="W13" s="132">
        <v>3550</v>
      </c>
      <c r="X13" s="64">
        <v>3730</v>
      </c>
      <c r="Y13" s="64">
        <v>3330</v>
      </c>
      <c r="Z13" s="74">
        <f>'Revenue &amp; Cost'!Z45</f>
        <v>3458.3128345569735</v>
      </c>
      <c r="AA13" s="140">
        <f>'Revenue &amp; Cost'!AA45</f>
        <v>3709.5357632544274</v>
      </c>
      <c r="AB13" s="73">
        <f>'Revenue &amp; Cost'!AB45</f>
        <v>4005.3602969691374</v>
      </c>
      <c r="AC13" s="73">
        <f>'Revenue &amp; Cost'!AC45</f>
        <v>4394.8290627973302</v>
      </c>
      <c r="AD13" s="74">
        <f>'Revenue &amp; Cost'!AD45</f>
        <v>4656.4135882907576</v>
      </c>
      <c r="AE13" s="140">
        <f>'Revenue &amp; Cost'!AE45</f>
        <v>5017.8475806444021</v>
      </c>
      <c r="AF13" s="73">
        <f>'Revenue &amp; Cost'!AF45</f>
        <v>5442.136740998084</v>
      </c>
      <c r="AG13" s="73">
        <f>'Revenue &amp; Cost'!AG45</f>
        <v>5991.5351172424225</v>
      </c>
      <c r="AH13" s="74">
        <f>'Revenue &amp; Cost'!AH45</f>
        <v>6391.7029784628894</v>
      </c>
      <c r="AJ13" s="73">
        <f t="shared" si="9"/>
        <v>5857</v>
      </c>
      <c r="AK13" s="73">
        <f t="shared" si="10"/>
        <v>7734</v>
      </c>
      <c r="AL13" s="73">
        <f t="shared" si="11"/>
        <v>11155</v>
      </c>
      <c r="AM13" s="73">
        <f t="shared" si="12"/>
        <v>14500</v>
      </c>
      <c r="AN13" s="73">
        <f t="shared" si="13"/>
        <v>16950</v>
      </c>
      <c r="AO13" s="73">
        <f t="shared" si="14"/>
        <v>14068.312834556973</v>
      </c>
      <c r="AP13" s="73">
        <f t="shared" si="15"/>
        <v>16766.138711311651</v>
      </c>
      <c r="AQ13" s="73">
        <f t="shared" si="16"/>
        <v>22843.222417347799</v>
      </c>
    </row>
    <row r="14" spans="2:56">
      <c r="B14" s="9" t="s">
        <v>49</v>
      </c>
      <c r="C14" s="9">
        <f>SUM(C9:C13)</f>
        <v>8828</v>
      </c>
      <c r="D14" s="9">
        <f t="shared" ref="D14:AH14" si="17">SUM(D9:D13)</f>
        <v>11095</v>
      </c>
      <c r="E14" s="9">
        <f t="shared" si="17"/>
        <v>13010</v>
      </c>
      <c r="F14" s="70">
        <f t="shared" si="17"/>
        <v>12764</v>
      </c>
      <c r="G14" s="152">
        <f t="shared" si="17"/>
        <v>12617</v>
      </c>
      <c r="H14" s="9">
        <f t="shared" si="17"/>
        <v>15388</v>
      </c>
      <c r="I14" s="9">
        <f t="shared" si="17"/>
        <v>22440</v>
      </c>
      <c r="J14" s="70">
        <f t="shared" si="17"/>
        <v>22699</v>
      </c>
      <c r="K14" s="152">
        <f t="shared" si="17"/>
        <v>23135</v>
      </c>
      <c r="L14" s="9">
        <f t="shared" si="17"/>
        <v>24518</v>
      </c>
      <c r="M14" s="9">
        <f t="shared" si="17"/>
        <v>23929</v>
      </c>
      <c r="N14" s="70">
        <f t="shared" si="17"/>
        <v>24636</v>
      </c>
      <c r="O14" s="152">
        <f t="shared" si="17"/>
        <v>26343</v>
      </c>
      <c r="P14" s="9">
        <f t="shared" si="17"/>
        <v>27496</v>
      </c>
      <c r="Q14" s="9">
        <f t="shared" si="17"/>
        <v>30100</v>
      </c>
      <c r="R14" s="70">
        <f t="shared" si="17"/>
        <v>24906</v>
      </c>
      <c r="S14" s="152">
        <f t="shared" si="17"/>
        <v>22938</v>
      </c>
      <c r="T14" s="9">
        <f t="shared" si="17"/>
        <v>20628</v>
      </c>
      <c r="U14" s="9">
        <f t="shared" si="17"/>
        <v>20502</v>
      </c>
      <c r="V14" s="70">
        <f t="shared" si="17"/>
        <v>20001</v>
      </c>
      <c r="W14" s="152">
        <f t="shared" si="17"/>
        <v>18460</v>
      </c>
      <c r="X14" s="9">
        <f t="shared" si="17"/>
        <v>19200</v>
      </c>
      <c r="Y14" s="9">
        <f t="shared" si="17"/>
        <v>20380</v>
      </c>
      <c r="Z14" s="153">
        <f t="shared" si="17"/>
        <v>20633.831828819293</v>
      </c>
      <c r="AA14" s="154">
        <f t="shared" si="17"/>
        <v>21984.266552320238</v>
      </c>
      <c r="AB14" s="126">
        <f t="shared" si="17"/>
        <v>23612.847582557839</v>
      </c>
      <c r="AC14" s="126">
        <f t="shared" si="17"/>
        <v>25890.959956169318</v>
      </c>
      <c r="AD14" s="153">
        <f t="shared" si="17"/>
        <v>27090.99643730044</v>
      </c>
      <c r="AE14" s="154">
        <f t="shared" si="17"/>
        <v>28966.86330180092</v>
      </c>
      <c r="AF14" s="126">
        <f t="shared" si="17"/>
        <v>31218.306748409919</v>
      </c>
      <c r="AG14" s="126">
        <f t="shared" si="17"/>
        <v>34312.449485011377</v>
      </c>
      <c r="AH14" s="153">
        <f t="shared" si="17"/>
        <v>36104.444208714078</v>
      </c>
      <c r="AI14" s="9"/>
      <c r="AJ14" s="126">
        <f t="shared" si="9"/>
        <v>45697</v>
      </c>
      <c r="AK14" s="126">
        <f t="shared" si="10"/>
        <v>73144</v>
      </c>
      <c r="AL14" s="126">
        <f t="shared" si="11"/>
        <v>96218</v>
      </c>
      <c r="AM14" s="126">
        <f t="shared" si="12"/>
        <v>108845</v>
      </c>
      <c r="AN14" s="126">
        <f t="shared" si="13"/>
        <v>84069</v>
      </c>
      <c r="AO14" s="126">
        <f t="shared" si="14"/>
        <v>78673.831828819297</v>
      </c>
      <c r="AP14" s="126">
        <f t="shared" si="15"/>
        <v>98579.070528347831</v>
      </c>
      <c r="AQ14" s="126">
        <f t="shared" si="16"/>
        <v>130602.06374393629</v>
      </c>
    </row>
    <row r="15" spans="2:56">
      <c r="B15" s="9" t="s">
        <v>50</v>
      </c>
      <c r="C15" s="9">
        <f>C8-C14</f>
        <v>-3316</v>
      </c>
      <c r="D15" s="9">
        <f t="shared" ref="D15:AH15" si="18">D8-D14</f>
        <v>-4456</v>
      </c>
      <c r="E15" s="9">
        <f t="shared" si="18"/>
        <v>-5290</v>
      </c>
      <c r="F15" s="70">
        <f t="shared" si="18"/>
        <v>-4611</v>
      </c>
      <c r="G15" s="152">
        <f t="shared" si="18"/>
        <v>-3709</v>
      </c>
      <c r="H15" s="9">
        <f t="shared" si="18"/>
        <v>-4524</v>
      </c>
      <c r="I15" s="9">
        <f t="shared" si="18"/>
        <v>-7879</v>
      </c>
      <c r="J15" s="70">
        <f t="shared" si="18"/>
        <v>-7290</v>
      </c>
      <c r="K15" s="152">
        <f t="shared" si="18"/>
        <v>-6339</v>
      </c>
      <c r="L15" s="9">
        <f t="shared" si="18"/>
        <v>-5378</v>
      </c>
      <c r="M15" s="9">
        <f t="shared" si="18"/>
        <v>-3307</v>
      </c>
      <c r="N15" s="70">
        <f t="shared" si="18"/>
        <v>-1291</v>
      </c>
      <c r="O15" s="152">
        <f t="shared" si="18"/>
        <v>-2927</v>
      </c>
      <c r="P15" s="9">
        <f t="shared" si="18"/>
        <v>-2310</v>
      </c>
      <c r="Q15" s="9">
        <f t="shared" si="18"/>
        <v>-1595</v>
      </c>
      <c r="R15" s="70">
        <f t="shared" si="18"/>
        <v>-2236</v>
      </c>
      <c r="S15" s="152">
        <f t="shared" si="18"/>
        <v>-7922</v>
      </c>
      <c r="T15" s="9">
        <f t="shared" si="18"/>
        <v>-4033</v>
      </c>
      <c r="U15" s="9">
        <f t="shared" si="18"/>
        <v>-2224</v>
      </c>
      <c r="V15" s="70">
        <f t="shared" si="18"/>
        <v>-886</v>
      </c>
      <c r="W15" s="152">
        <f t="shared" si="18"/>
        <v>715</v>
      </c>
      <c r="X15" s="9">
        <f t="shared" si="18"/>
        <v>1420</v>
      </c>
      <c r="Y15" s="9">
        <f t="shared" si="18"/>
        <v>1560</v>
      </c>
      <c r="Z15" s="153">
        <f t="shared" si="18"/>
        <v>2421.5870682271961</v>
      </c>
      <c r="AA15" s="154">
        <f t="shared" si="18"/>
        <v>2745.971869375946</v>
      </c>
      <c r="AB15" s="126">
        <f t="shared" si="18"/>
        <v>3089.5543972364139</v>
      </c>
      <c r="AC15" s="126">
        <f t="shared" si="18"/>
        <v>3407.9004624795562</v>
      </c>
      <c r="AD15" s="153">
        <f t="shared" si="18"/>
        <v>3951.7608179712843</v>
      </c>
      <c r="AE15" s="154">
        <f t="shared" si="18"/>
        <v>4485.4539024950936</v>
      </c>
      <c r="AF15" s="126">
        <f t="shared" si="18"/>
        <v>5062.6048582439653</v>
      </c>
      <c r="AG15" s="126">
        <f t="shared" si="18"/>
        <v>5631.1179632714411</v>
      </c>
      <c r="AH15" s="153">
        <f t="shared" si="18"/>
        <v>6506.9089810385267</v>
      </c>
      <c r="AI15" s="9"/>
      <c r="AJ15" s="126">
        <f t="shared" si="9"/>
        <v>-17673</v>
      </c>
      <c r="AK15" s="126">
        <f t="shared" si="10"/>
        <v>-23402</v>
      </c>
      <c r="AL15" s="126">
        <f t="shared" si="11"/>
        <v>-16315</v>
      </c>
      <c r="AM15" s="126">
        <f t="shared" si="12"/>
        <v>-9068</v>
      </c>
      <c r="AN15" s="126">
        <f t="shared" si="13"/>
        <v>-15065</v>
      </c>
      <c r="AO15" s="126">
        <f t="shared" si="14"/>
        <v>6116.5870682271961</v>
      </c>
      <c r="AP15" s="126">
        <f t="shared" si="15"/>
        <v>13195.1875470632</v>
      </c>
      <c r="AQ15" s="126">
        <f t="shared" si="16"/>
        <v>21686.085705049027</v>
      </c>
    </row>
    <row r="16" spans="2:56">
      <c r="B16" s="94" t="s">
        <v>51</v>
      </c>
      <c r="C16" s="64">
        <v>403</v>
      </c>
      <c r="D16" s="64">
        <v>490</v>
      </c>
      <c r="E16" s="64">
        <v>382</v>
      </c>
      <c r="F16" s="127">
        <v>510</v>
      </c>
      <c r="G16" s="132">
        <v>409</v>
      </c>
      <c r="H16" s="64">
        <v>504</v>
      </c>
      <c r="I16" s="64">
        <v>609</v>
      </c>
      <c r="J16" s="127">
        <v>951</v>
      </c>
      <c r="K16" s="132">
        <v>972</v>
      </c>
      <c r="L16" s="64">
        <v>1043</v>
      </c>
      <c r="M16" s="64">
        <v>1240</v>
      </c>
      <c r="N16" s="127">
        <v>1598</v>
      </c>
      <c r="O16" s="132">
        <v>1591</v>
      </c>
      <c r="P16" s="64">
        <v>1801</v>
      </c>
      <c r="Q16" s="64">
        <v>2009</v>
      </c>
      <c r="R16" s="127">
        <v>1956</v>
      </c>
      <c r="S16" s="132">
        <v>1784</v>
      </c>
      <c r="T16" s="64">
        <v>1786</v>
      </c>
      <c r="U16" s="64">
        <v>1653</v>
      </c>
      <c r="V16" s="127">
        <v>1503</v>
      </c>
      <c r="W16" s="132">
        <v>1661</v>
      </c>
      <c r="X16" s="64">
        <v>1370</v>
      </c>
      <c r="Y16" s="64">
        <v>1330</v>
      </c>
      <c r="Z16" s="54">
        <f>AO16-SUM(W16:Y16)</f>
        <v>-121.47905514767535</v>
      </c>
      <c r="AA16" s="142">
        <f>AP16/4</f>
        <v>1397.1782259426379</v>
      </c>
      <c r="AB16" s="55">
        <f>AA16</f>
        <v>1397.1782259426379</v>
      </c>
      <c r="AC16" s="55">
        <f t="shared" ref="AC16:AD16" si="19">AB16</f>
        <v>1397.1782259426379</v>
      </c>
      <c r="AD16" s="54">
        <f t="shared" si="19"/>
        <v>1397.1782259426379</v>
      </c>
      <c r="AE16" s="61">
        <f>AQ16/4</f>
        <v>1903.6018681123167</v>
      </c>
      <c r="AF16" s="36">
        <f>AE16</f>
        <v>1903.6018681123167</v>
      </c>
      <c r="AG16" s="36">
        <f t="shared" ref="AG16:AH16" si="20">AF16</f>
        <v>1903.6018681123167</v>
      </c>
      <c r="AH16" s="62">
        <f t="shared" si="20"/>
        <v>1903.6018681123167</v>
      </c>
      <c r="AJ16" s="73">
        <f t="shared" si="9"/>
        <v>1785</v>
      </c>
      <c r="AK16" s="73">
        <f t="shared" si="10"/>
        <v>2473</v>
      </c>
      <c r="AL16" s="73">
        <f t="shared" si="11"/>
        <v>4853</v>
      </c>
      <c r="AM16" s="73">
        <f t="shared" si="12"/>
        <v>7357</v>
      </c>
      <c r="AN16" s="73">
        <f t="shared" si="13"/>
        <v>6726</v>
      </c>
      <c r="AO16" s="73">
        <f>BS!H68</f>
        <v>4239.5209448523246</v>
      </c>
      <c r="AP16" s="73">
        <f>BS!I68</f>
        <v>5588.7129037705517</v>
      </c>
      <c r="AQ16" s="73">
        <f>BS!J68</f>
        <v>7614.4074724492666</v>
      </c>
    </row>
    <row r="17" spans="2:43">
      <c r="B17" s="9" t="s">
        <v>53</v>
      </c>
      <c r="C17" s="125">
        <f>C15-C16</f>
        <v>-3719</v>
      </c>
      <c r="D17" s="125">
        <f>D15-D16</f>
        <v>-4946</v>
      </c>
      <c r="E17" s="125">
        <f>E15-E16</f>
        <v>-5672</v>
      </c>
      <c r="F17" s="129">
        <f>F15-F16</f>
        <v>-5121</v>
      </c>
      <c r="G17" s="134">
        <f>G15-G16</f>
        <v>-4118</v>
      </c>
      <c r="H17" s="125">
        <f>H15-H16</f>
        <v>-5028</v>
      </c>
      <c r="I17" s="125">
        <f>I15-I16</f>
        <v>-8488</v>
      </c>
      <c r="J17" s="129">
        <f>J15-J16</f>
        <v>-8241</v>
      </c>
      <c r="K17" s="134">
        <f>K15-K16</f>
        <v>-7311</v>
      </c>
      <c r="L17" s="125">
        <f>L15-L16</f>
        <v>-6421</v>
      </c>
      <c r="M17" s="125">
        <f>M15-M16</f>
        <v>-4547</v>
      </c>
      <c r="N17" s="129">
        <f>N15-N16</f>
        <v>-2889</v>
      </c>
      <c r="O17" s="134">
        <f>O15-O16</f>
        <v>-4518</v>
      </c>
      <c r="P17" s="125">
        <f>P15-P16</f>
        <v>-4111</v>
      </c>
      <c r="Q17" s="125">
        <f>Q15-Q16</f>
        <v>-3604</v>
      </c>
      <c r="R17" s="129">
        <f>R15-R16</f>
        <v>-4192</v>
      </c>
      <c r="S17" s="134">
        <f>S15-S16</f>
        <v>-9706</v>
      </c>
      <c r="T17" s="125">
        <f>T15-T16</f>
        <v>-5819</v>
      </c>
      <c r="U17" s="125">
        <f>U15-U16</f>
        <v>-3877</v>
      </c>
      <c r="V17" s="129">
        <f>V15-V16</f>
        <v>-2389</v>
      </c>
      <c r="W17" s="134">
        <f>W15-W16</f>
        <v>-946</v>
      </c>
      <c r="X17" s="125">
        <f>X15-X16</f>
        <v>50</v>
      </c>
      <c r="Y17" s="125">
        <f>Y15-Y16</f>
        <v>230</v>
      </c>
      <c r="Z17" s="129">
        <f>Z15-Z16</f>
        <v>2543.0661233748715</v>
      </c>
      <c r="AA17" s="134">
        <f>AA15-AA16</f>
        <v>1348.793643433308</v>
      </c>
      <c r="AB17" s="125">
        <f>AB15-AB16</f>
        <v>1692.376171293776</v>
      </c>
      <c r="AC17" s="125">
        <f>AC15-AC16</f>
        <v>2010.7222365369182</v>
      </c>
      <c r="AD17" s="129">
        <f>AD15-AD16</f>
        <v>2554.5825920286461</v>
      </c>
      <c r="AE17" s="134">
        <f>AE15-AE16</f>
        <v>2581.8520343827768</v>
      </c>
      <c r="AF17" s="125">
        <f>AF15-AF16</f>
        <v>3159.0029901316484</v>
      </c>
      <c r="AG17" s="125">
        <f>AG15-AG16</f>
        <v>3727.5160951591242</v>
      </c>
      <c r="AH17" s="129">
        <f>AH15-AH16</f>
        <v>4603.3071129262098</v>
      </c>
      <c r="AI17" s="9"/>
      <c r="AJ17" s="126">
        <f t="shared" si="9"/>
        <v>-19458</v>
      </c>
      <c r="AK17" s="126">
        <f t="shared" si="10"/>
        <v>-25875</v>
      </c>
      <c r="AL17" s="126">
        <f t="shared" si="11"/>
        <v>-21168</v>
      </c>
      <c r="AM17" s="126">
        <f t="shared" si="12"/>
        <v>-16425</v>
      </c>
      <c r="AN17" s="126">
        <f t="shared" si="13"/>
        <v>-21791</v>
      </c>
      <c r="AO17" s="126">
        <f t="shared" si="14"/>
        <v>1877.0661233748715</v>
      </c>
      <c r="AP17" s="126">
        <f t="shared" si="15"/>
        <v>7606.4746432926486</v>
      </c>
      <c r="AQ17" s="126">
        <f t="shared" si="16"/>
        <v>14071.678232599759</v>
      </c>
    </row>
    <row r="18" spans="2:43">
      <c r="B18" s="36" t="s">
        <v>54</v>
      </c>
      <c r="C18" s="64">
        <v>-102</v>
      </c>
      <c r="D18" s="64">
        <v>-83</v>
      </c>
      <c r="E18" s="64">
        <v>-92</v>
      </c>
      <c r="F18" s="127">
        <v>-71</v>
      </c>
      <c r="G18" s="132">
        <v>-97</v>
      </c>
      <c r="H18" s="64">
        <v>-102</v>
      </c>
      <c r="I18" s="64">
        <v>-125</v>
      </c>
      <c r="J18" s="127">
        <v>-70</v>
      </c>
      <c r="K18" s="132">
        <v>-55</v>
      </c>
      <c r="L18" s="64">
        <v>-53</v>
      </c>
      <c r="M18" s="64">
        <v>-54</v>
      </c>
      <c r="N18" s="127">
        <v>-71</v>
      </c>
      <c r="O18" s="132">
        <v>-67</v>
      </c>
      <c r="P18" s="64">
        <v>-70</v>
      </c>
      <c r="Q18" s="64">
        <v>-54</v>
      </c>
      <c r="R18" s="127">
        <v>-52</v>
      </c>
      <c r="S18" s="132">
        <v>-42</v>
      </c>
      <c r="T18" s="64">
        <v>-34</v>
      </c>
      <c r="U18" s="64">
        <v>-43</v>
      </c>
      <c r="V18" s="127">
        <v>-45</v>
      </c>
      <c r="W18" s="132">
        <v>-40</v>
      </c>
      <c r="X18" s="64">
        <v>-50</v>
      </c>
      <c r="Y18" s="64">
        <v>-40</v>
      </c>
      <c r="Z18" s="62">
        <f>Y18</f>
        <v>-40</v>
      </c>
      <c r="AA18" s="61">
        <f t="shared" ref="AA18:AH18" si="21">Z18</f>
        <v>-40</v>
      </c>
      <c r="AB18" s="36">
        <f t="shared" si="21"/>
        <v>-40</v>
      </c>
      <c r="AC18" s="36">
        <f t="shared" si="21"/>
        <v>-40</v>
      </c>
      <c r="AD18" s="62">
        <f t="shared" si="21"/>
        <v>-40</v>
      </c>
      <c r="AE18" s="61">
        <f t="shared" si="21"/>
        <v>-40</v>
      </c>
      <c r="AF18" s="36">
        <f t="shared" si="21"/>
        <v>-40</v>
      </c>
      <c r="AG18" s="36">
        <f t="shared" si="21"/>
        <v>-40</v>
      </c>
      <c r="AH18" s="62">
        <f t="shared" si="21"/>
        <v>-40</v>
      </c>
      <c r="AJ18" s="73">
        <f t="shared" si="9"/>
        <v>-348</v>
      </c>
      <c r="AK18" s="73">
        <f t="shared" si="10"/>
        <v>-394</v>
      </c>
      <c r="AL18" s="73">
        <f t="shared" si="11"/>
        <v>-233</v>
      </c>
      <c r="AM18" s="73">
        <f t="shared" si="12"/>
        <v>-243</v>
      </c>
      <c r="AN18" s="73">
        <f t="shared" si="13"/>
        <v>-164</v>
      </c>
      <c r="AO18" s="73">
        <f t="shared" si="14"/>
        <v>-170</v>
      </c>
      <c r="AP18" s="73">
        <f t="shared" si="15"/>
        <v>-160</v>
      </c>
      <c r="AQ18" s="73">
        <f t="shared" si="16"/>
        <v>-160</v>
      </c>
    </row>
    <row r="19" spans="2:43">
      <c r="B19" s="36" t="s">
        <v>55</v>
      </c>
      <c r="C19" s="64">
        <v>982</v>
      </c>
      <c r="D19" s="64">
        <v>942</v>
      </c>
      <c r="E19" s="64">
        <v>955</v>
      </c>
      <c r="F19" s="127">
        <v>965</v>
      </c>
      <c r="G19" s="132">
        <v>572</v>
      </c>
      <c r="H19" s="64">
        <v>481</v>
      </c>
      <c r="I19" s="64">
        <v>773</v>
      </c>
      <c r="J19" s="127">
        <v>1075</v>
      </c>
      <c r="K19" s="132">
        <v>1020</v>
      </c>
      <c r="L19" s="64">
        <v>996</v>
      </c>
      <c r="M19" s="64">
        <v>780</v>
      </c>
      <c r="N19" s="127">
        <v>1301</v>
      </c>
      <c r="O19" s="132">
        <v>1226</v>
      </c>
      <c r="P19" s="64">
        <v>1439</v>
      </c>
      <c r="Q19" s="64">
        <v>1486</v>
      </c>
      <c r="R19" s="127">
        <v>1317</v>
      </c>
      <c r="S19" s="132">
        <v>1375</v>
      </c>
      <c r="T19" s="64">
        <v>1745</v>
      </c>
      <c r="U19" s="64">
        <v>1887</v>
      </c>
      <c r="V19" s="127">
        <v>2238</v>
      </c>
      <c r="W19" s="132">
        <v>2414</v>
      </c>
      <c r="X19" s="64">
        <v>2220</v>
      </c>
      <c r="Y19" s="64">
        <v>2120</v>
      </c>
      <c r="Z19" s="62">
        <f t="shared" ref="Z19:AH19" si="22">Y19</f>
        <v>2120</v>
      </c>
      <c r="AA19" s="61">
        <f t="shared" si="22"/>
        <v>2120</v>
      </c>
      <c r="AB19" s="36">
        <f t="shared" si="22"/>
        <v>2120</v>
      </c>
      <c r="AC19" s="36">
        <f t="shared" si="22"/>
        <v>2120</v>
      </c>
      <c r="AD19" s="62">
        <f t="shared" si="22"/>
        <v>2120</v>
      </c>
      <c r="AE19" s="61">
        <f t="shared" si="22"/>
        <v>2120</v>
      </c>
      <c r="AF19" s="36">
        <f t="shared" si="22"/>
        <v>2120</v>
      </c>
      <c r="AG19" s="36">
        <f t="shared" si="22"/>
        <v>2120</v>
      </c>
      <c r="AH19" s="62">
        <f t="shared" si="22"/>
        <v>2120</v>
      </c>
      <c r="AJ19" s="73">
        <f t="shared" si="9"/>
        <v>3844</v>
      </c>
      <c r="AK19" s="73">
        <f t="shared" si="10"/>
        <v>2901</v>
      </c>
      <c r="AL19" s="73">
        <f t="shared" si="11"/>
        <v>4097</v>
      </c>
      <c r="AM19" s="73">
        <f t="shared" si="12"/>
        <v>5468</v>
      </c>
      <c r="AN19" s="73">
        <f t="shared" si="13"/>
        <v>7245</v>
      </c>
      <c r="AO19" s="73">
        <f t="shared" si="14"/>
        <v>8874</v>
      </c>
      <c r="AP19" s="73">
        <f t="shared" si="15"/>
        <v>8480</v>
      </c>
      <c r="AQ19" s="73">
        <f t="shared" si="16"/>
        <v>8480</v>
      </c>
    </row>
    <row r="20" spans="2:43">
      <c r="B20" s="36" t="s">
        <v>56</v>
      </c>
      <c r="C20" s="64">
        <v>34</v>
      </c>
      <c r="D20" s="64">
        <v>-196</v>
      </c>
      <c r="E20" s="64">
        <v>-243</v>
      </c>
      <c r="F20" s="127">
        <v>-335</v>
      </c>
      <c r="G20" s="132">
        <v>-121</v>
      </c>
      <c r="H20" s="64">
        <v>-66</v>
      </c>
      <c r="I20" s="64">
        <v>111</v>
      </c>
      <c r="J20" s="127">
        <v>-383</v>
      </c>
      <c r="K20" s="132">
        <v>-60</v>
      </c>
      <c r="L20" s="64">
        <v>-92</v>
      </c>
      <c r="M20" s="64">
        <v>50</v>
      </c>
      <c r="N20" s="127">
        <v>-23</v>
      </c>
      <c r="O20" s="132">
        <v>-181</v>
      </c>
      <c r="P20" s="64">
        <v>9</v>
      </c>
      <c r="Q20" s="64">
        <v>-38</v>
      </c>
      <c r="R20" s="127">
        <v>-167</v>
      </c>
      <c r="S20" s="132">
        <v>-13</v>
      </c>
      <c r="T20" s="64">
        <v>43</v>
      </c>
      <c r="U20" s="64">
        <v>-2</v>
      </c>
      <c r="V20" s="127">
        <v>-3</v>
      </c>
      <c r="W20" s="132">
        <v>4</v>
      </c>
      <c r="X20" s="64">
        <v>-10</v>
      </c>
      <c r="Y20" s="64">
        <v>-10</v>
      </c>
      <c r="Z20" s="62">
        <f t="shared" ref="Z20:AH20" si="23">Y20</f>
        <v>-10</v>
      </c>
      <c r="AA20" s="61">
        <f t="shared" si="23"/>
        <v>-10</v>
      </c>
      <c r="AB20" s="36">
        <f t="shared" si="23"/>
        <v>-10</v>
      </c>
      <c r="AC20" s="36">
        <f t="shared" si="23"/>
        <v>-10</v>
      </c>
      <c r="AD20" s="62">
        <f t="shared" si="23"/>
        <v>-10</v>
      </c>
      <c r="AE20" s="61">
        <f t="shared" si="23"/>
        <v>-10</v>
      </c>
      <c r="AF20" s="36">
        <f t="shared" si="23"/>
        <v>-10</v>
      </c>
      <c r="AG20" s="36">
        <f t="shared" si="23"/>
        <v>-10</v>
      </c>
      <c r="AH20" s="62">
        <f t="shared" si="23"/>
        <v>-10</v>
      </c>
      <c r="AJ20" s="73">
        <f t="shared" si="9"/>
        <v>-740</v>
      </c>
      <c r="AK20" s="73">
        <f t="shared" si="10"/>
        <v>-459</v>
      </c>
      <c r="AL20" s="73">
        <f t="shared" si="11"/>
        <v>-125</v>
      </c>
      <c r="AM20" s="73">
        <f t="shared" si="12"/>
        <v>-377</v>
      </c>
      <c r="AN20" s="73">
        <f t="shared" si="13"/>
        <v>25</v>
      </c>
      <c r="AO20" s="73">
        <f t="shared" si="14"/>
        <v>-26</v>
      </c>
      <c r="AP20" s="73">
        <f t="shared" si="15"/>
        <v>-40</v>
      </c>
      <c r="AQ20" s="73">
        <f t="shared" si="16"/>
        <v>-40</v>
      </c>
    </row>
    <row r="21" spans="2:43">
      <c r="B21" s="9" t="s">
        <v>57</v>
      </c>
      <c r="C21" s="125">
        <f>C17+SUM(C18:C20)</f>
        <v>-2805</v>
      </c>
      <c r="D21" s="125">
        <f t="shared" ref="D21:AH21" si="24">D17+SUM(D18:D20)</f>
        <v>-4283</v>
      </c>
      <c r="E21" s="125">
        <f t="shared" si="24"/>
        <v>-5052</v>
      </c>
      <c r="F21" s="129">
        <f t="shared" si="24"/>
        <v>-4562</v>
      </c>
      <c r="G21" s="134">
        <f t="shared" si="24"/>
        <v>-3764</v>
      </c>
      <c r="H21" s="125">
        <f t="shared" si="24"/>
        <v>-4715</v>
      </c>
      <c r="I21" s="125">
        <f t="shared" si="24"/>
        <v>-7729</v>
      </c>
      <c r="J21" s="129">
        <f t="shared" si="24"/>
        <v>-7619</v>
      </c>
      <c r="K21" s="134">
        <f t="shared" si="24"/>
        <v>-6406</v>
      </c>
      <c r="L21" s="125">
        <f t="shared" si="24"/>
        <v>-5570</v>
      </c>
      <c r="M21" s="125">
        <f t="shared" si="24"/>
        <v>-3771</v>
      </c>
      <c r="N21" s="129">
        <f t="shared" si="24"/>
        <v>-1682</v>
      </c>
      <c r="O21" s="134">
        <f t="shared" si="24"/>
        <v>-3540</v>
      </c>
      <c r="P21" s="125">
        <f t="shared" si="24"/>
        <v>-2733</v>
      </c>
      <c r="Q21" s="125">
        <f t="shared" si="24"/>
        <v>-2210</v>
      </c>
      <c r="R21" s="129">
        <f t="shared" si="24"/>
        <v>-3094</v>
      </c>
      <c r="S21" s="134">
        <f t="shared" si="24"/>
        <v>-8386</v>
      </c>
      <c r="T21" s="125">
        <f t="shared" si="24"/>
        <v>-4065</v>
      </c>
      <c r="U21" s="125">
        <f t="shared" si="24"/>
        <v>-2035</v>
      </c>
      <c r="V21" s="129">
        <f t="shared" si="24"/>
        <v>-199</v>
      </c>
      <c r="W21" s="134">
        <f t="shared" si="24"/>
        <v>1432</v>
      </c>
      <c r="X21" s="125">
        <f t="shared" si="24"/>
        <v>2210</v>
      </c>
      <c r="Y21" s="125">
        <f t="shared" si="24"/>
        <v>2300</v>
      </c>
      <c r="Z21" s="129">
        <f t="shared" si="24"/>
        <v>4613.0661233748715</v>
      </c>
      <c r="AA21" s="134">
        <f t="shared" si="24"/>
        <v>3418.7936434333078</v>
      </c>
      <c r="AB21" s="125">
        <f t="shared" si="24"/>
        <v>3762.3761712937758</v>
      </c>
      <c r="AC21" s="125">
        <f t="shared" si="24"/>
        <v>4080.722236536918</v>
      </c>
      <c r="AD21" s="129">
        <f t="shared" si="24"/>
        <v>4624.5825920286461</v>
      </c>
      <c r="AE21" s="134">
        <f t="shared" si="24"/>
        <v>4651.8520343827768</v>
      </c>
      <c r="AF21" s="125">
        <f t="shared" si="24"/>
        <v>5229.0029901316484</v>
      </c>
      <c r="AG21" s="125">
        <f t="shared" si="24"/>
        <v>5797.5160951591242</v>
      </c>
      <c r="AH21" s="129">
        <f t="shared" si="24"/>
        <v>6673.3071129262098</v>
      </c>
      <c r="AI21" s="9"/>
      <c r="AJ21" s="126">
        <f t="shared" si="9"/>
        <v>-16702</v>
      </c>
      <c r="AK21" s="126">
        <f t="shared" si="10"/>
        <v>-23827</v>
      </c>
      <c r="AL21" s="126">
        <f t="shared" si="11"/>
        <v>-17429</v>
      </c>
      <c r="AM21" s="126">
        <f t="shared" si="12"/>
        <v>-11577</v>
      </c>
      <c r="AN21" s="126">
        <f t="shared" si="13"/>
        <v>-14685</v>
      </c>
      <c r="AO21" s="126">
        <f t="shared" si="14"/>
        <v>10555.066123374872</v>
      </c>
      <c r="AP21" s="126">
        <f t="shared" si="15"/>
        <v>15886.474643292648</v>
      </c>
      <c r="AQ21" s="126">
        <f t="shared" si="16"/>
        <v>22351.678232599759</v>
      </c>
    </row>
    <row r="22" spans="2:43">
      <c r="B22" s="36" t="s">
        <v>58</v>
      </c>
      <c r="C22" s="64">
        <v>41</v>
      </c>
      <c r="D22" s="64">
        <v>-84</v>
      </c>
      <c r="E22" s="64">
        <v>-103</v>
      </c>
      <c r="F22" s="127">
        <v>119</v>
      </c>
      <c r="G22" s="132">
        <v>-31</v>
      </c>
      <c r="H22" s="64">
        <v>-20</v>
      </c>
      <c r="I22" s="64">
        <v>-56</v>
      </c>
      <c r="J22" s="127">
        <v>-6</v>
      </c>
      <c r="K22" s="132">
        <v>-48</v>
      </c>
      <c r="L22" s="64">
        <v>-145</v>
      </c>
      <c r="M22" s="64">
        <v>-150</v>
      </c>
      <c r="N22" s="127">
        <v>7</v>
      </c>
      <c r="O22" s="132">
        <v>-44</v>
      </c>
      <c r="P22" s="64">
        <v>-127</v>
      </c>
      <c r="Q22" s="64">
        <v>-7</v>
      </c>
      <c r="R22" s="127">
        <v>-141</v>
      </c>
      <c r="S22" s="132">
        <v>-15</v>
      </c>
      <c r="T22" s="64">
        <v>-89</v>
      </c>
      <c r="U22" s="64">
        <v>-50</v>
      </c>
      <c r="V22" s="127">
        <v>-26</v>
      </c>
      <c r="W22" s="132">
        <v>-40</v>
      </c>
      <c r="X22" s="64">
        <v>-100</v>
      </c>
      <c r="Y22" s="64">
        <v>-50</v>
      </c>
      <c r="Z22" s="138">
        <f>-Z21*Z23</f>
        <v>-1153.2665308437179</v>
      </c>
      <c r="AA22" s="143">
        <f t="shared" ref="AA22:AH22" si="25">-AA21*AA23</f>
        <v>-854.69841085832695</v>
      </c>
      <c r="AB22" s="95">
        <f t="shared" si="25"/>
        <v>-940.59404282344394</v>
      </c>
      <c r="AC22" s="95">
        <f t="shared" si="25"/>
        <v>-1020.1805591342295</v>
      </c>
      <c r="AD22" s="138">
        <f t="shared" si="25"/>
        <v>-1156.1456480071615</v>
      </c>
      <c r="AE22" s="143">
        <f t="shared" si="25"/>
        <v>-1162.9630085956942</v>
      </c>
      <c r="AF22" s="95">
        <f t="shared" si="25"/>
        <v>-1307.2507475329121</v>
      </c>
      <c r="AG22" s="95">
        <f t="shared" si="25"/>
        <v>-1449.3790237897811</v>
      </c>
      <c r="AH22" s="138">
        <f t="shared" si="25"/>
        <v>-1668.3267782315525</v>
      </c>
      <c r="AJ22" s="73">
        <f t="shared" si="9"/>
        <v>-27</v>
      </c>
      <c r="AK22" s="73">
        <f t="shared" si="10"/>
        <v>-113</v>
      </c>
      <c r="AL22" s="73">
        <f t="shared" si="11"/>
        <v>-336</v>
      </c>
      <c r="AM22" s="73">
        <f t="shared" si="12"/>
        <v>-319</v>
      </c>
      <c r="AN22" s="73">
        <f t="shared" si="13"/>
        <v>-180</v>
      </c>
      <c r="AO22" s="73">
        <f t="shared" si="14"/>
        <v>-1343.2665308437179</v>
      </c>
      <c r="AP22" s="73">
        <f t="shared" si="15"/>
        <v>-3971.6186608231619</v>
      </c>
      <c r="AQ22" s="73">
        <f t="shared" si="16"/>
        <v>-5587.9195581499398</v>
      </c>
    </row>
    <row r="23" spans="2:43">
      <c r="B23" s="36" t="s">
        <v>66</v>
      </c>
      <c r="C23" s="96">
        <f>C22/C21</f>
        <v>-1.4616755793226381E-2</v>
      </c>
      <c r="D23" s="96">
        <f t="shared" ref="D23:Y23" si="26">D22/D21</f>
        <v>1.9612421200093391E-2</v>
      </c>
      <c r="E23" s="96">
        <f t="shared" si="26"/>
        <v>2.0387965162311956E-2</v>
      </c>
      <c r="F23" s="128">
        <f t="shared" si="26"/>
        <v>-2.6085050416483999E-2</v>
      </c>
      <c r="G23" s="133">
        <f t="shared" si="26"/>
        <v>8.2359192348565348E-3</v>
      </c>
      <c r="H23" s="96">
        <f t="shared" si="26"/>
        <v>4.2417815482502655E-3</v>
      </c>
      <c r="I23" s="96">
        <f t="shared" si="26"/>
        <v>7.2454392547548199E-3</v>
      </c>
      <c r="J23" s="128">
        <f t="shared" si="26"/>
        <v>7.8750492190576187E-4</v>
      </c>
      <c r="K23" s="133">
        <f t="shared" si="26"/>
        <v>7.492975335622854E-3</v>
      </c>
      <c r="L23" s="96">
        <f t="shared" si="26"/>
        <v>2.6032315978456014E-2</v>
      </c>
      <c r="M23" s="96">
        <f t="shared" si="26"/>
        <v>3.9777247414478918E-2</v>
      </c>
      <c r="N23" s="128">
        <f t="shared" si="26"/>
        <v>-4.1617122473246136E-3</v>
      </c>
      <c r="O23" s="133">
        <f t="shared" si="26"/>
        <v>1.2429378531073447E-2</v>
      </c>
      <c r="P23" s="96">
        <f t="shared" si="26"/>
        <v>4.64690815953165E-2</v>
      </c>
      <c r="Q23" s="96">
        <f t="shared" si="26"/>
        <v>3.167420814479638E-3</v>
      </c>
      <c r="R23" s="128">
        <f t="shared" si="26"/>
        <v>4.5572074983839687E-2</v>
      </c>
      <c r="S23" s="133">
        <f t="shared" si="26"/>
        <v>1.7886954447889339E-3</v>
      </c>
      <c r="T23" s="96">
        <f t="shared" si="26"/>
        <v>2.189421894218942E-2</v>
      </c>
      <c r="U23" s="96">
        <f t="shared" si="26"/>
        <v>2.4570024570024569E-2</v>
      </c>
      <c r="V23" s="128">
        <f t="shared" si="26"/>
        <v>0.1306532663316583</v>
      </c>
      <c r="W23" s="133">
        <f t="shared" si="26"/>
        <v>-2.7932960893854747E-2</v>
      </c>
      <c r="X23" s="96">
        <f t="shared" si="26"/>
        <v>-4.5248868778280542E-2</v>
      </c>
      <c r="Y23" s="96">
        <f t="shared" si="26"/>
        <v>-2.1739130434782608E-2</v>
      </c>
      <c r="Z23" s="139">
        <v>0.25</v>
      </c>
      <c r="AA23" s="144">
        <v>0.25</v>
      </c>
      <c r="AB23" s="97">
        <v>0.25</v>
      </c>
      <c r="AC23" s="97">
        <v>0.25</v>
      </c>
      <c r="AD23" s="139">
        <v>0.25</v>
      </c>
      <c r="AE23" s="144">
        <v>0.25</v>
      </c>
      <c r="AF23" s="97">
        <v>0.25</v>
      </c>
      <c r="AG23" s="97">
        <v>0.25</v>
      </c>
      <c r="AH23" s="139">
        <v>0.25</v>
      </c>
      <c r="AJ23" s="186">
        <f t="shared" ref="AJ23:AQ23" si="27">AJ22/AJ21</f>
        <v>1.6165728655250869E-3</v>
      </c>
      <c r="AK23" s="186">
        <f t="shared" si="27"/>
        <v>4.7425189910605611E-3</v>
      </c>
      <c r="AL23" s="186">
        <f t="shared" si="27"/>
        <v>1.9278214470135981E-2</v>
      </c>
      <c r="AM23" s="186">
        <f t="shared" si="27"/>
        <v>2.7554634188477152E-2</v>
      </c>
      <c r="AN23" s="186">
        <f t="shared" si="27"/>
        <v>1.2257405515832482E-2</v>
      </c>
      <c r="AO23" s="186">
        <f t="shared" si="27"/>
        <v>-0.12726273006182007</v>
      </c>
      <c r="AP23" s="186">
        <f t="shared" si="27"/>
        <v>-0.25</v>
      </c>
      <c r="AQ23" s="186">
        <f t="shared" si="27"/>
        <v>-0.25</v>
      </c>
    </row>
    <row r="24" spans="2:43">
      <c r="B24" s="36" t="s">
        <v>67</v>
      </c>
      <c r="C24" s="64">
        <v>-80</v>
      </c>
      <c r="D24" s="64">
        <v>0</v>
      </c>
      <c r="E24" s="64">
        <v>-200</v>
      </c>
      <c r="F24" s="127">
        <v>-1</v>
      </c>
      <c r="G24" s="132">
        <v>-24</v>
      </c>
      <c r="H24" s="64">
        <v>0</v>
      </c>
      <c r="I24" s="64">
        <v>0</v>
      </c>
      <c r="J24" s="127">
        <v>0</v>
      </c>
      <c r="K24" s="132">
        <v>0</v>
      </c>
      <c r="L24" s="64">
        <v>0</v>
      </c>
      <c r="M24" s="64">
        <v>0</v>
      </c>
      <c r="N24" s="127">
        <v>0</v>
      </c>
      <c r="O24" s="132">
        <v>0</v>
      </c>
      <c r="P24" s="64">
        <v>-57</v>
      </c>
      <c r="Q24" s="64">
        <v>0</v>
      </c>
      <c r="R24" s="127">
        <v>-2271</v>
      </c>
      <c r="S24" s="132">
        <v>0</v>
      </c>
      <c r="T24" s="64">
        <v>13454</v>
      </c>
      <c r="U24" s="64">
        <v>0</v>
      </c>
      <c r="V24" s="127">
        <v>-5221</v>
      </c>
      <c r="W24" s="132">
        <v>-167</v>
      </c>
      <c r="X24" s="64">
        <v>-1900</v>
      </c>
      <c r="Y24" s="64">
        <v>0</v>
      </c>
      <c r="Z24" s="127">
        <v>0</v>
      </c>
      <c r="AA24" s="132">
        <v>0</v>
      </c>
      <c r="AB24" s="64">
        <v>0</v>
      </c>
      <c r="AC24" s="64">
        <v>0</v>
      </c>
      <c r="AD24" s="127">
        <v>0</v>
      </c>
      <c r="AE24" s="132">
        <v>0</v>
      </c>
      <c r="AF24" s="64">
        <v>0</v>
      </c>
      <c r="AG24" s="64">
        <v>0</v>
      </c>
      <c r="AH24" s="127">
        <v>0</v>
      </c>
      <c r="AJ24" s="73">
        <f t="shared" si="9"/>
        <v>-281</v>
      </c>
      <c r="AK24" s="73">
        <f t="shared" si="10"/>
        <v>-24</v>
      </c>
      <c r="AL24" s="73">
        <f t="shared" si="11"/>
        <v>0</v>
      </c>
      <c r="AM24" s="73">
        <f t="shared" si="12"/>
        <v>-2328</v>
      </c>
      <c r="AN24" s="73">
        <f t="shared" si="13"/>
        <v>8233</v>
      </c>
      <c r="AO24" s="73">
        <f t="shared" si="14"/>
        <v>-2067</v>
      </c>
      <c r="AP24" s="73">
        <f t="shared" si="15"/>
        <v>0</v>
      </c>
      <c r="AQ24" s="73">
        <f t="shared" si="16"/>
        <v>0</v>
      </c>
    </row>
    <row r="25" spans="2:43">
      <c r="B25" s="9" t="s">
        <v>59</v>
      </c>
      <c r="C25" s="125">
        <f>C21+C22+C24</f>
        <v>-2844</v>
      </c>
      <c r="D25" s="125">
        <f t="shared" ref="D25:AH25" si="28">D21+D22+D24</f>
        <v>-4367</v>
      </c>
      <c r="E25" s="125">
        <f t="shared" si="28"/>
        <v>-5355</v>
      </c>
      <c r="F25" s="129">
        <f t="shared" si="28"/>
        <v>-4444</v>
      </c>
      <c r="G25" s="134">
        <f t="shared" si="28"/>
        <v>-3819</v>
      </c>
      <c r="H25" s="125">
        <f t="shared" si="28"/>
        <v>-4735</v>
      </c>
      <c r="I25" s="125">
        <f t="shared" si="28"/>
        <v>-7785</v>
      </c>
      <c r="J25" s="129">
        <f t="shared" si="28"/>
        <v>-7625</v>
      </c>
      <c r="K25" s="134">
        <f t="shared" si="28"/>
        <v>-6454</v>
      </c>
      <c r="L25" s="125">
        <f t="shared" si="28"/>
        <v>-5715</v>
      </c>
      <c r="M25" s="125">
        <f t="shared" si="28"/>
        <v>-3921</v>
      </c>
      <c r="N25" s="129">
        <f t="shared" si="28"/>
        <v>-1675</v>
      </c>
      <c r="O25" s="134">
        <f t="shared" si="28"/>
        <v>-3584</v>
      </c>
      <c r="P25" s="125">
        <f t="shared" si="28"/>
        <v>-2917</v>
      </c>
      <c r="Q25" s="125">
        <f t="shared" si="28"/>
        <v>-2217</v>
      </c>
      <c r="R25" s="129">
        <f t="shared" si="28"/>
        <v>-5506</v>
      </c>
      <c r="S25" s="134">
        <f t="shared" si="28"/>
        <v>-8401</v>
      </c>
      <c r="T25" s="125">
        <f t="shared" si="28"/>
        <v>9300</v>
      </c>
      <c r="U25" s="125">
        <f t="shared" si="28"/>
        <v>-2085</v>
      </c>
      <c r="V25" s="129">
        <f t="shared" si="28"/>
        <v>-5446</v>
      </c>
      <c r="W25" s="134">
        <f t="shared" si="28"/>
        <v>1225</v>
      </c>
      <c r="X25" s="125">
        <f t="shared" si="28"/>
        <v>210</v>
      </c>
      <c r="Y25" s="125">
        <f t="shared" si="28"/>
        <v>2250</v>
      </c>
      <c r="Z25" s="129">
        <f t="shared" si="28"/>
        <v>3459.7995925311534</v>
      </c>
      <c r="AA25" s="134">
        <f t="shared" si="28"/>
        <v>2564.0952325749809</v>
      </c>
      <c r="AB25" s="125">
        <f t="shared" si="28"/>
        <v>2821.7821284703318</v>
      </c>
      <c r="AC25" s="125">
        <f t="shared" si="28"/>
        <v>3060.5416774026885</v>
      </c>
      <c r="AD25" s="129">
        <f t="shared" si="28"/>
        <v>3468.4369440214846</v>
      </c>
      <c r="AE25" s="134">
        <f t="shared" si="28"/>
        <v>3488.8890257870826</v>
      </c>
      <c r="AF25" s="125">
        <f t="shared" si="28"/>
        <v>3921.7522425987363</v>
      </c>
      <c r="AG25" s="125">
        <f t="shared" si="28"/>
        <v>4348.1370713693432</v>
      </c>
      <c r="AH25" s="129">
        <f t="shared" si="28"/>
        <v>5004.9803346946574</v>
      </c>
      <c r="AI25" s="9"/>
      <c r="AJ25" s="126">
        <f t="shared" si="9"/>
        <v>-17010</v>
      </c>
      <c r="AK25" s="126">
        <f t="shared" si="10"/>
        <v>-23964</v>
      </c>
      <c r="AL25" s="126">
        <f t="shared" si="11"/>
        <v>-17765</v>
      </c>
      <c r="AM25" s="126">
        <f t="shared" si="12"/>
        <v>-14224</v>
      </c>
      <c r="AN25" s="126">
        <f t="shared" si="13"/>
        <v>-6632</v>
      </c>
      <c r="AO25" s="126">
        <f t="shared" si="14"/>
        <v>7144.7995925311534</v>
      </c>
      <c r="AP25" s="126">
        <f t="shared" si="15"/>
        <v>11914.855982469486</v>
      </c>
      <c r="AQ25" s="126">
        <f t="shared" si="16"/>
        <v>16763.758674449818</v>
      </c>
    </row>
    <row r="26" spans="2:43">
      <c r="B26" s="36" t="s">
        <v>60</v>
      </c>
      <c r="C26" s="64">
        <v>25</v>
      </c>
      <c r="D26" s="64">
        <v>-7</v>
      </c>
      <c r="E26" s="64">
        <v>5</v>
      </c>
      <c r="F26" s="127">
        <v>26</v>
      </c>
      <c r="G26" s="132">
        <v>17</v>
      </c>
      <c r="H26" s="64">
        <v>6</v>
      </c>
      <c r="I26" s="64">
        <v>1</v>
      </c>
      <c r="J26" s="127">
        <v>11</v>
      </c>
      <c r="K26" s="132">
        <v>10</v>
      </c>
      <c r="L26" s="64">
        <v>4</v>
      </c>
      <c r="M26" s="64">
        <v>1</v>
      </c>
      <c r="N26" s="127">
        <v>-9</v>
      </c>
      <c r="O26" s="132">
        <v>14</v>
      </c>
      <c r="P26" s="64">
        <v>12</v>
      </c>
      <c r="Q26" s="64">
        <v>19</v>
      </c>
      <c r="R26" s="127">
        <v>9</v>
      </c>
      <c r="S26" s="132">
        <v>12</v>
      </c>
      <c r="T26" s="64">
        <v>-17</v>
      </c>
      <c r="U26" s="64">
        <v>2</v>
      </c>
      <c r="V26" s="127">
        <v>48</v>
      </c>
      <c r="W26" s="132">
        <v>0</v>
      </c>
      <c r="X26" s="64">
        <v>0</v>
      </c>
      <c r="Y26" s="64">
        <v>0</v>
      </c>
      <c r="Z26" s="127">
        <v>0</v>
      </c>
      <c r="AA26" s="132">
        <v>0</v>
      </c>
      <c r="AB26" s="64">
        <v>0</v>
      </c>
      <c r="AC26" s="64">
        <v>0</v>
      </c>
      <c r="AD26" s="127">
        <v>0</v>
      </c>
      <c r="AE26" s="132">
        <v>0</v>
      </c>
      <c r="AF26" s="64">
        <v>0</v>
      </c>
      <c r="AG26" s="64">
        <v>0</v>
      </c>
      <c r="AH26" s="127">
        <v>0</v>
      </c>
      <c r="AJ26" s="73">
        <f t="shared" si="9"/>
        <v>49</v>
      </c>
      <c r="AK26" s="73">
        <f t="shared" si="10"/>
        <v>35</v>
      </c>
      <c r="AL26" s="73">
        <f t="shared" si="11"/>
        <v>6</v>
      </c>
      <c r="AM26" s="73">
        <f t="shared" si="12"/>
        <v>54</v>
      </c>
      <c r="AN26" s="73">
        <f t="shared" si="13"/>
        <v>45</v>
      </c>
      <c r="AO26" s="73">
        <f t="shared" si="14"/>
        <v>0</v>
      </c>
      <c r="AP26" s="73">
        <f t="shared" si="15"/>
        <v>0</v>
      </c>
      <c r="AQ26" s="73">
        <f t="shared" si="16"/>
        <v>0</v>
      </c>
    </row>
    <row r="27" spans="2:43">
      <c r="B27" s="9" t="s">
        <v>61</v>
      </c>
      <c r="C27" s="125">
        <f>C25+C26</f>
        <v>-2819</v>
      </c>
      <c r="D27" s="125">
        <f t="shared" ref="D27:AH27" si="29">D25+D26</f>
        <v>-4374</v>
      </c>
      <c r="E27" s="125">
        <f t="shared" si="29"/>
        <v>-5350</v>
      </c>
      <c r="F27" s="129">
        <f t="shared" si="29"/>
        <v>-4418</v>
      </c>
      <c r="G27" s="134">
        <f t="shared" si="29"/>
        <v>-3802</v>
      </c>
      <c r="H27" s="125">
        <f t="shared" si="29"/>
        <v>-4729</v>
      </c>
      <c r="I27" s="125">
        <f t="shared" si="29"/>
        <v>-7784</v>
      </c>
      <c r="J27" s="129">
        <f t="shared" si="29"/>
        <v>-7614</v>
      </c>
      <c r="K27" s="134">
        <f t="shared" si="29"/>
        <v>-6444</v>
      </c>
      <c r="L27" s="125">
        <f t="shared" si="29"/>
        <v>-5711</v>
      </c>
      <c r="M27" s="125">
        <f t="shared" si="29"/>
        <v>-3920</v>
      </c>
      <c r="N27" s="129">
        <f t="shared" si="29"/>
        <v>-1684</v>
      </c>
      <c r="O27" s="134">
        <f t="shared" si="29"/>
        <v>-3570</v>
      </c>
      <c r="P27" s="125">
        <f t="shared" si="29"/>
        <v>-2905</v>
      </c>
      <c r="Q27" s="125">
        <f t="shared" si="29"/>
        <v>-2198</v>
      </c>
      <c r="R27" s="129">
        <f t="shared" si="29"/>
        <v>-5497</v>
      </c>
      <c r="S27" s="134">
        <f t="shared" si="29"/>
        <v>-8389</v>
      </c>
      <c r="T27" s="125">
        <f t="shared" si="29"/>
        <v>9283</v>
      </c>
      <c r="U27" s="125">
        <f t="shared" si="29"/>
        <v>-2083</v>
      </c>
      <c r="V27" s="129">
        <f t="shared" si="29"/>
        <v>-5398</v>
      </c>
      <c r="W27" s="134">
        <f t="shared" si="29"/>
        <v>1225</v>
      </c>
      <c r="X27" s="125">
        <f t="shared" si="29"/>
        <v>210</v>
      </c>
      <c r="Y27" s="125">
        <f t="shared" si="29"/>
        <v>2250</v>
      </c>
      <c r="Z27" s="129">
        <f t="shared" si="29"/>
        <v>3459.7995925311534</v>
      </c>
      <c r="AA27" s="134">
        <f t="shared" si="29"/>
        <v>2564.0952325749809</v>
      </c>
      <c r="AB27" s="125">
        <f t="shared" si="29"/>
        <v>2821.7821284703318</v>
      </c>
      <c r="AC27" s="125">
        <f t="shared" si="29"/>
        <v>3060.5416774026885</v>
      </c>
      <c r="AD27" s="129">
        <f t="shared" si="29"/>
        <v>3468.4369440214846</v>
      </c>
      <c r="AE27" s="134">
        <f t="shared" si="29"/>
        <v>3488.8890257870826</v>
      </c>
      <c r="AF27" s="125">
        <f t="shared" si="29"/>
        <v>3921.7522425987363</v>
      </c>
      <c r="AG27" s="125">
        <f t="shared" si="29"/>
        <v>4348.1370713693432</v>
      </c>
      <c r="AH27" s="129">
        <f t="shared" si="29"/>
        <v>5004.9803346946574</v>
      </c>
      <c r="AI27" s="9"/>
      <c r="AJ27" s="126">
        <f t="shared" si="9"/>
        <v>-16961</v>
      </c>
      <c r="AK27" s="126">
        <f t="shared" si="10"/>
        <v>-23929</v>
      </c>
      <c r="AL27" s="126">
        <f t="shared" si="11"/>
        <v>-17759</v>
      </c>
      <c r="AM27" s="126">
        <f t="shared" si="12"/>
        <v>-14170</v>
      </c>
      <c r="AN27" s="126">
        <f t="shared" si="13"/>
        <v>-6587</v>
      </c>
      <c r="AO27" s="126">
        <f t="shared" si="14"/>
        <v>7144.7995925311534</v>
      </c>
      <c r="AP27" s="126">
        <f t="shared" si="15"/>
        <v>11914.855982469486</v>
      </c>
      <c r="AQ27" s="126">
        <f t="shared" si="16"/>
        <v>16763.758674449818</v>
      </c>
    </row>
    <row r="28" spans="2:43">
      <c r="F28" s="62"/>
      <c r="G28" s="61"/>
      <c r="J28" s="62"/>
      <c r="K28" s="61"/>
      <c r="N28" s="62"/>
      <c r="O28" s="61"/>
      <c r="R28" s="62"/>
      <c r="S28" s="61"/>
      <c r="V28" s="62"/>
      <c r="W28" s="61"/>
      <c r="Z28" s="62"/>
      <c r="AA28" s="61"/>
      <c r="AD28" s="62"/>
      <c r="AE28" s="61"/>
      <c r="AH28" s="62"/>
      <c r="AJ28" s="73">
        <f t="shared" si="9"/>
        <v>0</v>
      </c>
      <c r="AK28" s="73">
        <f t="shared" si="10"/>
        <v>0</v>
      </c>
      <c r="AL28" s="73">
        <f t="shared" si="11"/>
        <v>0</v>
      </c>
      <c r="AM28" s="73">
        <f t="shared" si="12"/>
        <v>0</v>
      </c>
      <c r="AN28" s="73">
        <f t="shared" si="13"/>
        <v>0</v>
      </c>
      <c r="AO28" s="73">
        <f t="shared" si="14"/>
        <v>0</v>
      </c>
      <c r="AP28" s="73">
        <f t="shared" si="15"/>
        <v>0</v>
      </c>
      <c r="AQ28" s="73">
        <f t="shared" si="16"/>
        <v>0</v>
      </c>
    </row>
    <row r="29" spans="2:43">
      <c r="B29" s="36" t="s">
        <v>62</v>
      </c>
      <c r="C29" s="98">
        <v>601.88706000000002</v>
      </c>
      <c r="D29" s="98">
        <v>601.90044999999998</v>
      </c>
      <c r="E29" s="98">
        <v>601.90044999999998</v>
      </c>
      <c r="F29" s="130">
        <v>602.25028999999995</v>
      </c>
      <c r="G29" s="135">
        <v>602.94129999999996</v>
      </c>
      <c r="H29" s="98">
        <v>606.62221899999997</v>
      </c>
      <c r="I29" s="98">
        <v>628.9713334999999</v>
      </c>
      <c r="J29" s="130">
        <v>648.41753649999998</v>
      </c>
      <c r="K29" s="135">
        <v>648.69595550000008</v>
      </c>
      <c r="L29" s="98">
        <v>648.87188650000007</v>
      </c>
      <c r="M29" s="98">
        <v>649.12383150000005</v>
      </c>
      <c r="N29" s="130">
        <v>641.56130200000007</v>
      </c>
      <c r="O29" s="135">
        <v>633.98344900000006</v>
      </c>
      <c r="P29" s="98">
        <v>634.27427349999994</v>
      </c>
      <c r="Q29" s="98">
        <v>634.59629150000001</v>
      </c>
      <c r="R29" s="130">
        <v>635.118245</v>
      </c>
      <c r="S29" s="135">
        <v>635.70323450000001</v>
      </c>
      <c r="T29" s="98">
        <v>636.31602550000002</v>
      </c>
      <c r="U29" s="98">
        <v>637.01099249999993</v>
      </c>
      <c r="V29" s="74">
        <v>637.61405649999995</v>
      </c>
      <c r="W29" s="140">
        <v>638.02083333333337</v>
      </c>
      <c r="X29" s="73">
        <v>636.36363636363637</v>
      </c>
      <c r="Y29" s="73">
        <v>639.101358</v>
      </c>
      <c r="Z29" s="74">
        <v>639.101358</v>
      </c>
      <c r="AA29" s="140">
        <v>639.101358</v>
      </c>
      <c r="AB29" s="73">
        <v>639.101358</v>
      </c>
      <c r="AC29" s="73">
        <v>639.101358</v>
      </c>
      <c r="AD29" s="74">
        <v>639.101358</v>
      </c>
      <c r="AE29" s="140">
        <v>639.101358</v>
      </c>
      <c r="AF29" s="73">
        <v>639.101358</v>
      </c>
      <c r="AG29" s="73">
        <v>639.101358</v>
      </c>
      <c r="AH29" s="74">
        <v>639.101358</v>
      </c>
      <c r="AJ29" s="73">
        <v>639</v>
      </c>
      <c r="AK29" s="73">
        <v>639</v>
      </c>
      <c r="AL29" s="73">
        <v>639</v>
      </c>
      <c r="AM29" s="73">
        <v>639</v>
      </c>
      <c r="AN29" s="73">
        <v>639</v>
      </c>
      <c r="AO29" s="73">
        <v>639</v>
      </c>
      <c r="AP29" s="73">
        <v>639</v>
      </c>
      <c r="AQ29" s="73">
        <v>639</v>
      </c>
    </row>
    <row r="30" spans="2:43">
      <c r="B30" s="36" t="s">
        <v>63</v>
      </c>
      <c r="C30" s="98">
        <v>601.88706000000002</v>
      </c>
      <c r="D30" s="98">
        <v>601.90044999999998</v>
      </c>
      <c r="E30" s="98">
        <v>601.90044999999998</v>
      </c>
      <c r="F30" s="130">
        <v>602.25028999999995</v>
      </c>
      <c r="G30" s="135">
        <v>602.94129999999996</v>
      </c>
      <c r="H30" s="98">
        <v>606.62221899999997</v>
      </c>
      <c r="I30" s="98">
        <v>628.9713334999999</v>
      </c>
      <c r="J30" s="130">
        <v>648.41753649999998</v>
      </c>
      <c r="K30" s="135">
        <v>648.69595550000008</v>
      </c>
      <c r="L30" s="98">
        <v>648.87188650000007</v>
      </c>
      <c r="M30" s="98">
        <v>649.12383150000005</v>
      </c>
      <c r="N30" s="130">
        <v>641.56130200000007</v>
      </c>
      <c r="O30" s="135">
        <v>633.98344900000006</v>
      </c>
      <c r="P30" s="98">
        <v>634.27427349999994</v>
      </c>
      <c r="Q30" s="98">
        <v>634.59629150000001</v>
      </c>
      <c r="R30" s="130">
        <v>635.118245</v>
      </c>
      <c r="S30" s="135">
        <v>635.70323450000001</v>
      </c>
      <c r="T30" s="98">
        <v>649.61511546536042</v>
      </c>
      <c r="U30" s="98">
        <v>637.01099249999993</v>
      </c>
      <c r="V30" s="74">
        <v>637.61405649999995</v>
      </c>
      <c r="W30" s="140">
        <v>648.14814814814815</v>
      </c>
      <c r="X30" s="73">
        <v>656.25</v>
      </c>
      <c r="Y30" s="73">
        <v>650.28901734104045</v>
      </c>
      <c r="Z30" s="74">
        <v>650.28901734104045</v>
      </c>
      <c r="AA30" s="140">
        <v>650.28901734104045</v>
      </c>
      <c r="AB30" s="73">
        <v>650.28901734104045</v>
      </c>
      <c r="AC30" s="73">
        <v>650.28901734104045</v>
      </c>
      <c r="AD30" s="74">
        <v>650.28901734104045</v>
      </c>
      <c r="AE30" s="140">
        <v>650.28901734104045</v>
      </c>
      <c r="AF30" s="73">
        <v>650.28901734104045</v>
      </c>
      <c r="AG30" s="73">
        <v>650.28901734104045</v>
      </c>
      <c r="AH30" s="74">
        <v>650.28901734104045</v>
      </c>
      <c r="AJ30" s="73">
        <v>650</v>
      </c>
      <c r="AK30" s="73">
        <v>650</v>
      </c>
      <c r="AL30" s="73">
        <v>650</v>
      </c>
      <c r="AM30" s="73">
        <v>650</v>
      </c>
      <c r="AN30" s="73">
        <v>650</v>
      </c>
      <c r="AO30" s="73">
        <v>650</v>
      </c>
      <c r="AP30" s="73">
        <v>650</v>
      </c>
      <c r="AQ30" s="73">
        <v>650</v>
      </c>
    </row>
    <row r="31" spans="2:43">
      <c r="F31" s="62"/>
      <c r="G31" s="61"/>
      <c r="J31" s="62"/>
      <c r="K31" s="61"/>
      <c r="N31" s="62"/>
      <c r="O31" s="61"/>
      <c r="R31" s="62"/>
      <c r="S31" s="61"/>
      <c r="V31" s="62"/>
      <c r="W31" s="61"/>
      <c r="Z31" s="62"/>
      <c r="AA31" s="61"/>
      <c r="AD31" s="62"/>
      <c r="AE31" s="61"/>
      <c r="AH31" s="62"/>
      <c r="AJ31" s="73">
        <f t="shared" si="9"/>
        <v>0</v>
      </c>
      <c r="AK31" s="73">
        <f t="shared" si="10"/>
        <v>0</v>
      </c>
      <c r="AL31" s="73">
        <f t="shared" si="11"/>
        <v>0</v>
      </c>
      <c r="AM31" s="73">
        <f t="shared" si="12"/>
        <v>0</v>
      </c>
      <c r="AN31" s="73">
        <f t="shared" si="13"/>
        <v>0</v>
      </c>
      <c r="AO31" s="73">
        <f t="shared" si="14"/>
        <v>0</v>
      </c>
      <c r="AP31" s="73">
        <f t="shared" si="15"/>
        <v>0</v>
      </c>
      <c r="AQ31" s="73">
        <f t="shared" si="16"/>
        <v>0</v>
      </c>
    </row>
    <row r="32" spans="2:43">
      <c r="B32" s="36" t="s">
        <v>64</v>
      </c>
      <c r="C32" s="99">
        <f>C27/C29</f>
        <v>-4.6836029337464078</v>
      </c>
      <c r="D32" s="99">
        <f t="shared" ref="D32:AJ32" si="30">D27/D29</f>
        <v>-7.2669824387072648</v>
      </c>
      <c r="E32" s="99">
        <f t="shared" si="30"/>
        <v>-8.8885130423145551</v>
      </c>
      <c r="F32" s="131">
        <f t="shared" si="30"/>
        <v>-7.3358204609581845</v>
      </c>
      <c r="G32" s="136">
        <f t="shared" si="30"/>
        <v>-6.3057548056502357</v>
      </c>
      <c r="H32" s="99">
        <f t="shared" si="30"/>
        <v>-7.7956260945990836</v>
      </c>
      <c r="I32" s="99">
        <f t="shared" si="30"/>
        <v>-12.375762750084064</v>
      </c>
      <c r="J32" s="131">
        <f t="shared" si="30"/>
        <v>-11.742433804456491</v>
      </c>
      <c r="K32" s="136">
        <f t="shared" si="30"/>
        <v>-9.9337755158857295</v>
      </c>
      <c r="L32" s="99">
        <f t="shared" si="30"/>
        <v>-8.8014292479290503</v>
      </c>
      <c r="M32" s="99">
        <f t="shared" si="30"/>
        <v>-6.0389093879693734</v>
      </c>
      <c r="N32" s="131">
        <f t="shared" si="30"/>
        <v>-2.6248465964987391</v>
      </c>
      <c r="O32" s="136">
        <f t="shared" si="30"/>
        <v>-5.6310618291866472</v>
      </c>
      <c r="P32" s="99">
        <f t="shared" si="30"/>
        <v>-4.5800375663510184</v>
      </c>
      <c r="Q32" s="99">
        <f t="shared" si="30"/>
        <v>-3.4636193583870005</v>
      </c>
      <c r="R32" s="131">
        <f t="shared" si="30"/>
        <v>-8.6550812282207392</v>
      </c>
      <c r="S32" s="136">
        <f t="shared" si="30"/>
        <v>-13.196409180768452</v>
      </c>
      <c r="T32" s="99">
        <f t="shared" si="30"/>
        <v>14.588662909606384</v>
      </c>
      <c r="U32" s="99">
        <f t="shared" si="30"/>
        <v>-3.2699592699728806</v>
      </c>
      <c r="V32" s="131">
        <f t="shared" si="30"/>
        <v>-8.465936321465021</v>
      </c>
      <c r="W32" s="136">
        <f t="shared" si="30"/>
        <v>1.92</v>
      </c>
      <c r="X32" s="99">
        <f t="shared" si="30"/>
        <v>0.33</v>
      </c>
      <c r="Y32" s="99">
        <f t="shared" si="30"/>
        <v>3.5205683290067427</v>
      </c>
      <c r="Z32" s="131">
        <f t="shared" si="30"/>
        <v>5.4135381645224943</v>
      </c>
      <c r="AA32" s="136">
        <f t="shared" si="30"/>
        <v>4.0120322081602913</v>
      </c>
      <c r="AB32" s="99">
        <f t="shared" si="30"/>
        <v>4.4152341301555049</v>
      </c>
      <c r="AC32" s="99">
        <f t="shared" si="30"/>
        <v>4.7888204884751451</v>
      </c>
      <c r="AD32" s="131">
        <f t="shared" si="30"/>
        <v>5.4270530027906538</v>
      </c>
      <c r="AE32" s="136">
        <f t="shared" si="30"/>
        <v>5.4590543144911958</v>
      </c>
      <c r="AF32" s="99">
        <f t="shared" si="30"/>
        <v>6.1363541064463458</v>
      </c>
      <c r="AG32" s="99">
        <f t="shared" si="30"/>
        <v>6.8035171838413513</v>
      </c>
      <c r="AH32" s="131">
        <f t="shared" si="30"/>
        <v>7.8312778905011458</v>
      </c>
      <c r="AJ32" s="73">
        <f t="shared" si="9"/>
        <v>-28.174918875726416</v>
      </c>
      <c r="AK32" s="73">
        <f t="shared" si="10"/>
        <v>-38.219577454789871</v>
      </c>
      <c r="AL32" s="73">
        <f t="shared" si="11"/>
        <v>-27.398960748282889</v>
      </c>
      <c r="AM32" s="73">
        <f t="shared" si="12"/>
        <v>-22.329799982145403</v>
      </c>
      <c r="AN32" s="73">
        <f t="shared" si="13"/>
        <v>-10.34364186259997</v>
      </c>
      <c r="AO32" s="73">
        <f t="shared" si="14"/>
        <v>11.184106493529237</v>
      </c>
      <c r="AP32" s="73">
        <f t="shared" si="15"/>
        <v>18.643139829581596</v>
      </c>
      <c r="AQ32" s="73">
        <f t="shared" si="16"/>
        <v>26.230203495280037</v>
      </c>
    </row>
    <row r="33" spans="2:43">
      <c r="B33" s="36" t="s">
        <v>65</v>
      </c>
      <c r="C33" s="99">
        <f>C27/C30</f>
        <v>-4.6836029337464078</v>
      </c>
      <c r="D33" s="99">
        <f t="shared" ref="D33:AH33" si="31">D27/D30</f>
        <v>-7.2669824387072648</v>
      </c>
      <c r="E33" s="99">
        <f t="shared" si="31"/>
        <v>-8.8885130423145551</v>
      </c>
      <c r="F33" s="131">
        <f t="shared" si="31"/>
        <v>-7.3358204609581845</v>
      </c>
      <c r="G33" s="136">
        <f t="shared" si="31"/>
        <v>-6.3057548056502357</v>
      </c>
      <c r="H33" s="99">
        <f t="shared" si="31"/>
        <v>-7.7956260945990836</v>
      </c>
      <c r="I33" s="99">
        <f t="shared" si="31"/>
        <v>-12.375762750084064</v>
      </c>
      <c r="J33" s="131">
        <f t="shared" si="31"/>
        <v>-11.742433804456491</v>
      </c>
      <c r="K33" s="136">
        <f t="shared" si="31"/>
        <v>-9.9337755158857295</v>
      </c>
      <c r="L33" s="99">
        <f t="shared" si="31"/>
        <v>-8.8014292479290503</v>
      </c>
      <c r="M33" s="99">
        <f t="shared" si="31"/>
        <v>-6.0389093879693734</v>
      </c>
      <c r="N33" s="131">
        <f t="shared" si="31"/>
        <v>-2.6248465964987391</v>
      </c>
      <c r="O33" s="136">
        <f t="shared" si="31"/>
        <v>-5.6310618291866472</v>
      </c>
      <c r="P33" s="99">
        <f t="shared" si="31"/>
        <v>-4.5800375663510184</v>
      </c>
      <c r="Q33" s="99">
        <f t="shared" si="31"/>
        <v>-3.4636193583870005</v>
      </c>
      <c r="R33" s="131">
        <f t="shared" si="31"/>
        <v>-8.6550812282207392</v>
      </c>
      <c r="S33" s="136">
        <f t="shared" si="31"/>
        <v>-13.196409180768452</v>
      </c>
      <c r="T33" s="99">
        <f t="shared" si="31"/>
        <v>14.29</v>
      </c>
      <c r="U33" s="99">
        <f t="shared" si="31"/>
        <v>-3.2699592699728806</v>
      </c>
      <c r="V33" s="131">
        <f t="shared" si="31"/>
        <v>-8.465936321465021</v>
      </c>
      <c r="W33" s="136">
        <f t="shared" si="31"/>
        <v>1.89</v>
      </c>
      <c r="X33" s="99">
        <f t="shared" si="31"/>
        <v>0.32</v>
      </c>
      <c r="Y33" s="99">
        <f t="shared" si="31"/>
        <v>3.46</v>
      </c>
      <c r="Z33" s="131">
        <f t="shared" si="31"/>
        <v>5.3204029289590178</v>
      </c>
      <c r="AA33" s="136">
        <f t="shared" si="31"/>
        <v>3.9430086687597483</v>
      </c>
      <c r="AB33" s="99">
        <f t="shared" si="31"/>
        <v>4.3392738508921544</v>
      </c>
      <c r="AC33" s="99">
        <f t="shared" si="31"/>
        <v>4.706432979472579</v>
      </c>
      <c r="AD33" s="131">
        <f t="shared" si="31"/>
        <v>5.333685256139705</v>
      </c>
      <c r="AE33" s="136">
        <f t="shared" si="31"/>
        <v>5.3651360129881356</v>
      </c>
      <c r="AF33" s="99">
        <f t="shared" si="31"/>
        <v>6.030783448618501</v>
      </c>
      <c r="AG33" s="99">
        <f t="shared" si="31"/>
        <v>6.6864685630835234</v>
      </c>
      <c r="AH33" s="131">
        <f t="shared" si="31"/>
        <v>7.6965475369082288</v>
      </c>
      <c r="AJ33" s="73">
        <f t="shared" si="9"/>
        <v>-28.174918875726416</v>
      </c>
      <c r="AK33" s="73">
        <f t="shared" si="10"/>
        <v>-38.219577454789871</v>
      </c>
      <c r="AL33" s="73">
        <f t="shared" si="11"/>
        <v>-27.398960748282889</v>
      </c>
      <c r="AM33" s="73">
        <f t="shared" si="12"/>
        <v>-22.329799982145403</v>
      </c>
      <c r="AN33" s="73">
        <f t="shared" si="13"/>
        <v>-10.642304772206355</v>
      </c>
      <c r="AO33" s="73">
        <f t="shared" si="14"/>
        <v>10.990402928959018</v>
      </c>
      <c r="AP33" s="73">
        <f t="shared" si="15"/>
        <v>18.322400755264187</v>
      </c>
      <c r="AQ33" s="73">
        <f t="shared" si="16"/>
        <v>25.778935561598388</v>
      </c>
    </row>
    <row r="35" spans="2:43">
      <c r="Z35" s="99"/>
      <c r="AJ35" s="207"/>
      <c r="AK35" s="207"/>
      <c r="AL35" s="207"/>
      <c r="AM35" s="207"/>
      <c r="AN35" s="207"/>
      <c r="AO35" s="207"/>
      <c r="AP35" s="207"/>
      <c r="AQ35" s="2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9B92-503F-4E28-8D51-EBB6E9A68BA0}">
  <dimension ref="B2:AD70"/>
  <sheetViews>
    <sheetView workbookViewId="0">
      <pane xSplit="2" ySplit="3" topLeftCell="C7" activePane="bottomRight" state="frozen"/>
      <selection pane="bottomLeft" activeCell="A4" sqref="A4"/>
      <selection pane="topRight" activeCell="C1" sqref="C1"/>
      <selection pane="bottomRight" activeCell="H55" sqref="H55:J55"/>
    </sheetView>
  </sheetViews>
  <sheetFormatPr defaultRowHeight="15"/>
  <cols>
    <col min="2" max="2" width="29.0546875" bestFit="1" customWidth="1"/>
    <col min="3" max="6" width="7.6640625" bestFit="1" customWidth="1"/>
    <col min="7" max="7" width="8.609375" bestFit="1" customWidth="1"/>
    <col min="8" max="8" width="10.4921875" bestFit="1" customWidth="1"/>
    <col min="9" max="10" width="11.1640625" bestFit="1" customWidth="1"/>
    <col min="16" max="16" width="12.77734375" customWidth="1"/>
    <col min="17" max="21" width="5.37890625" bestFit="1" customWidth="1"/>
    <col min="22" max="24" width="5.51171875" bestFit="1" customWidth="1"/>
  </cols>
  <sheetData>
    <row r="2" spans="2:24">
      <c r="B2" s="6" t="s">
        <v>137</v>
      </c>
      <c r="P2" s="119"/>
      <c r="Q2" s="119"/>
      <c r="R2" s="119"/>
      <c r="S2" s="119"/>
      <c r="T2" s="119"/>
      <c r="U2" s="119"/>
      <c r="V2" s="119"/>
      <c r="W2" s="119"/>
      <c r="X2" s="119"/>
    </row>
    <row r="3" spans="2:24">
      <c r="B3" s="12" t="s">
        <v>68</v>
      </c>
      <c r="C3" s="2" t="s">
        <v>32</v>
      </c>
      <c r="D3" s="2" t="s">
        <v>33</v>
      </c>
      <c r="E3" s="2" t="s">
        <v>34</v>
      </c>
      <c r="F3" s="2" t="s">
        <v>35</v>
      </c>
      <c r="G3" s="3" t="s">
        <v>36</v>
      </c>
      <c r="H3" s="2" t="s">
        <v>37</v>
      </c>
      <c r="I3" s="2" t="s">
        <v>38</v>
      </c>
      <c r="J3" s="2" t="s">
        <v>39</v>
      </c>
      <c r="P3" s="119"/>
      <c r="Q3" s="4"/>
      <c r="R3" s="4"/>
      <c r="S3" s="4"/>
      <c r="T3" s="4"/>
      <c r="U3" s="120"/>
      <c r="V3" s="4"/>
      <c r="W3" s="4"/>
      <c r="X3" s="4"/>
    </row>
    <row r="4" spans="2:24">
      <c r="B4" s="14" t="s">
        <v>69</v>
      </c>
      <c r="C4" s="28">
        <v>5468</v>
      </c>
      <c r="D4" s="28">
        <v>13790</v>
      </c>
      <c r="E4" s="28">
        <v>33120</v>
      </c>
      <c r="F4" s="28">
        <v>42772</v>
      </c>
      <c r="G4" s="29">
        <v>20769</v>
      </c>
      <c r="H4" s="41">
        <f>CF!H51</f>
        <v>36591.733727343948</v>
      </c>
      <c r="I4" s="41">
        <f>CF!I51</f>
        <v>75189.13054844721</v>
      </c>
      <c r="J4" s="41">
        <f>CF!J51</f>
        <v>120424.71279174522</v>
      </c>
      <c r="P4" s="121"/>
      <c r="Q4" s="122"/>
      <c r="R4" s="122"/>
      <c r="S4" s="122"/>
      <c r="T4" s="122"/>
      <c r="U4" s="122"/>
      <c r="V4" s="122"/>
      <c r="W4" s="122"/>
      <c r="X4" s="122"/>
    </row>
    <row r="5" spans="2:24">
      <c r="B5" s="14" t="s">
        <v>70</v>
      </c>
      <c r="C5" s="28">
        <v>23296</v>
      </c>
      <c r="D5" s="28">
        <v>38230</v>
      </c>
      <c r="E5" s="28">
        <v>37275</v>
      </c>
      <c r="F5" s="28">
        <v>9690</v>
      </c>
      <c r="G5" s="29">
        <v>94803</v>
      </c>
      <c r="H5" s="41">
        <f>G5</f>
        <v>94803</v>
      </c>
      <c r="I5" s="41">
        <f t="shared" ref="I5:J5" si="0">H5</f>
        <v>94803</v>
      </c>
      <c r="J5" s="41">
        <f t="shared" si="0"/>
        <v>94803</v>
      </c>
      <c r="P5" s="14"/>
      <c r="Q5" s="42"/>
      <c r="R5" s="42"/>
      <c r="S5" s="42"/>
      <c r="T5" s="42"/>
      <c r="U5" s="42"/>
      <c r="V5" s="42"/>
      <c r="W5" s="42"/>
      <c r="X5" s="42"/>
    </row>
    <row r="6" spans="2:24">
      <c r="B6" s="14" t="s">
        <v>71</v>
      </c>
      <c r="C6" s="28">
        <v>4713</v>
      </c>
      <c r="D6" s="28">
        <v>7464</v>
      </c>
      <c r="E6" s="28">
        <v>12528</v>
      </c>
      <c r="F6" s="28">
        <v>16507</v>
      </c>
      <c r="G6" s="30">
        <v>12969</v>
      </c>
      <c r="H6" s="13">
        <f>IS!AJ8*BS!H61/365</f>
        <v>5266.9882325662284</v>
      </c>
      <c r="I6" s="13">
        <f>IS!AK8*BS!I61/365</f>
        <v>9348.7913454292502</v>
      </c>
      <c r="J6" s="13">
        <f>IS!AL8*BS!J61/365</f>
        <v>15017.419381485131</v>
      </c>
      <c r="K6" s="39"/>
      <c r="P6" s="14"/>
      <c r="Q6" s="42"/>
      <c r="R6" s="42"/>
      <c r="S6" s="42"/>
      <c r="T6" s="42"/>
      <c r="U6" s="42"/>
      <c r="V6" s="42"/>
      <c r="W6" s="42"/>
      <c r="X6" s="42"/>
    </row>
    <row r="7" spans="2:24">
      <c r="B7" s="14" t="s">
        <v>72</v>
      </c>
      <c r="C7" s="28">
        <v>1472</v>
      </c>
      <c r="D7" s="28">
        <v>0</v>
      </c>
      <c r="E7" s="28">
        <v>11206</v>
      </c>
      <c r="F7" s="28">
        <v>23340</v>
      </c>
      <c r="G7" s="29">
        <v>15908</v>
      </c>
      <c r="H7" s="41">
        <f>G7</f>
        <v>15908</v>
      </c>
      <c r="I7" s="41">
        <f t="shared" ref="I7:J7" si="1">H7</f>
        <v>15908</v>
      </c>
      <c r="J7" s="41">
        <f t="shared" si="1"/>
        <v>15908</v>
      </c>
      <c r="P7" s="14"/>
      <c r="Q7" s="42"/>
      <c r="R7" s="42"/>
      <c r="S7" s="42"/>
      <c r="T7" s="42"/>
      <c r="U7" s="42"/>
      <c r="V7" s="42"/>
      <c r="W7" s="42"/>
      <c r="X7" s="42"/>
    </row>
    <row r="8" spans="2:24">
      <c r="B8" s="14" t="s">
        <v>73</v>
      </c>
      <c r="C8" s="28">
        <v>1611</v>
      </c>
      <c r="D8" s="28">
        <v>514</v>
      </c>
      <c r="E8" s="28">
        <v>57</v>
      </c>
      <c r="F8" s="28">
        <v>51</v>
      </c>
      <c r="G8" s="29">
        <v>1018</v>
      </c>
      <c r="H8" s="41">
        <f>G8</f>
        <v>1018</v>
      </c>
      <c r="I8" s="41">
        <f t="shared" ref="I8:J8" si="2">H8</f>
        <v>1018</v>
      </c>
      <c r="J8" s="41">
        <f t="shared" si="2"/>
        <v>1018</v>
      </c>
      <c r="P8" s="14"/>
      <c r="Q8" s="42"/>
      <c r="R8" s="42"/>
      <c r="S8" s="42"/>
      <c r="T8" s="42"/>
      <c r="U8" s="42"/>
      <c r="V8" s="42"/>
      <c r="W8" s="42"/>
      <c r="X8" s="42"/>
    </row>
    <row r="9" spans="2:24">
      <c r="B9" s="14" t="s">
        <v>74</v>
      </c>
      <c r="C9" s="28">
        <v>23386</v>
      </c>
      <c r="D9" s="28">
        <v>32295</v>
      </c>
      <c r="E9" s="28">
        <v>33427</v>
      </c>
      <c r="F9" s="28">
        <v>20564</v>
      </c>
      <c r="G9" s="29">
        <v>20532</v>
      </c>
      <c r="H9" s="41">
        <f>G9</f>
        <v>20532</v>
      </c>
      <c r="I9" s="41">
        <f t="shared" ref="I9:J10" si="3">H9</f>
        <v>20532</v>
      </c>
      <c r="J9" s="41">
        <f t="shared" si="3"/>
        <v>20532</v>
      </c>
      <c r="P9" s="14"/>
      <c r="Q9" s="42"/>
      <c r="R9" s="42"/>
      <c r="S9" s="42"/>
      <c r="T9" s="42"/>
      <c r="U9" s="42"/>
      <c r="V9" s="42"/>
      <c r="W9" s="42"/>
      <c r="X9" s="42"/>
    </row>
    <row r="10" spans="2:24">
      <c r="B10" s="14" t="s">
        <v>75</v>
      </c>
      <c r="C10" s="28">
        <v>14052</v>
      </c>
      <c r="D10" s="28">
        <v>15157</v>
      </c>
      <c r="E10" s="28">
        <v>12278</v>
      </c>
      <c r="F10" s="28">
        <v>8713</v>
      </c>
      <c r="G10" s="29">
        <v>4846</v>
      </c>
      <c r="H10" s="41">
        <f>G10</f>
        <v>4846</v>
      </c>
      <c r="I10" s="41">
        <f t="shared" si="3"/>
        <v>4846</v>
      </c>
      <c r="J10" s="41">
        <f t="shared" si="3"/>
        <v>4846</v>
      </c>
      <c r="P10" s="14"/>
      <c r="Q10" s="42"/>
      <c r="R10" s="42"/>
      <c r="S10" s="42"/>
      <c r="T10" s="42"/>
      <c r="U10" s="42"/>
      <c r="V10" s="42"/>
      <c r="W10" s="42"/>
      <c r="X10" s="42"/>
    </row>
    <row r="11" spans="2:24">
      <c r="B11" s="15" t="s">
        <v>76</v>
      </c>
      <c r="C11" s="21">
        <f>SUM(C4:C10)</f>
        <v>73998</v>
      </c>
      <c r="D11" s="21">
        <f>SUM(D4:D10)</f>
        <v>107450</v>
      </c>
      <c r="E11" s="21">
        <f>SUM(E4:E10)</f>
        <v>139891</v>
      </c>
      <c r="F11" s="21">
        <f t="shared" ref="F11:J11" si="4">SUM(F4:F10)</f>
        <v>121637</v>
      </c>
      <c r="G11" s="22">
        <f t="shared" si="4"/>
        <v>170845</v>
      </c>
      <c r="H11" s="177">
        <f>SUM(H4:H10)</f>
        <v>178965.72195991018</v>
      </c>
      <c r="I11" s="177">
        <f t="shared" si="4"/>
        <v>221644.92189387645</v>
      </c>
      <c r="J11" s="177">
        <f t="shared" si="4"/>
        <v>272549.13217323035</v>
      </c>
      <c r="K11" s="41"/>
      <c r="P11" s="15"/>
      <c r="Q11" s="42"/>
      <c r="R11" s="42"/>
      <c r="S11" s="42"/>
      <c r="T11" s="42"/>
      <c r="U11" s="42"/>
      <c r="V11" s="42"/>
      <c r="W11" s="42"/>
      <c r="X11" s="42"/>
    </row>
    <row r="12" spans="2:24">
      <c r="B12" s="16"/>
      <c r="C12" s="16"/>
      <c r="D12" s="16"/>
      <c r="E12" s="16"/>
      <c r="F12" s="16"/>
      <c r="G12" s="23"/>
      <c r="H12" s="41"/>
      <c r="P12" s="16"/>
      <c r="Q12" s="42"/>
      <c r="R12" s="42"/>
      <c r="S12" s="42"/>
      <c r="T12" s="42"/>
      <c r="U12" s="42"/>
      <c r="V12" s="42"/>
      <c r="W12" s="42"/>
      <c r="X12" s="42"/>
    </row>
    <row r="13" spans="2:24">
      <c r="B13" s="14" t="s">
        <v>77</v>
      </c>
      <c r="C13" s="28">
        <v>2992</v>
      </c>
      <c r="D13" s="28">
        <v>5616</v>
      </c>
      <c r="E13" s="28">
        <v>8293</v>
      </c>
      <c r="F13" s="28">
        <v>9309</v>
      </c>
      <c r="G13" s="31">
        <v>6454</v>
      </c>
      <c r="H13" s="45">
        <f>H70</f>
        <v>7301.9041889704649</v>
      </c>
      <c r="I13" s="45">
        <f t="shared" ref="I13:J13" si="5">I70</f>
        <v>8419.6467697245753</v>
      </c>
      <c r="J13" s="45">
        <f t="shared" si="5"/>
        <v>9942.5282642144266</v>
      </c>
      <c r="P13" s="14"/>
      <c r="Q13" s="42"/>
      <c r="R13" s="42"/>
      <c r="S13" s="42"/>
      <c r="T13" s="42"/>
      <c r="U13" s="42"/>
      <c r="V13" s="42"/>
      <c r="W13" s="42"/>
      <c r="X13" s="42"/>
    </row>
    <row r="14" spans="2:24">
      <c r="B14" s="14" t="s">
        <v>78</v>
      </c>
      <c r="C14" s="28">
        <v>171</v>
      </c>
      <c r="D14" s="28">
        <v>135</v>
      </c>
      <c r="E14" s="28">
        <v>469</v>
      </c>
      <c r="F14" s="28">
        <v>360</v>
      </c>
      <c r="G14" s="29">
        <v>325</v>
      </c>
      <c r="H14" s="41">
        <f>G14</f>
        <v>325</v>
      </c>
      <c r="I14" s="41">
        <f t="shared" ref="I14:J14" si="6">H14</f>
        <v>325</v>
      </c>
      <c r="J14" s="41">
        <f t="shared" si="6"/>
        <v>325</v>
      </c>
      <c r="P14" s="14"/>
      <c r="Q14" s="42"/>
      <c r="R14" s="42"/>
      <c r="S14" s="42"/>
      <c r="T14" s="42"/>
      <c r="U14" s="42"/>
      <c r="V14" s="42"/>
      <c r="W14" s="42"/>
      <c r="X14" s="42"/>
    </row>
    <row r="15" spans="2:24">
      <c r="B15" s="14" t="s">
        <v>79</v>
      </c>
      <c r="C15" s="28">
        <v>208</v>
      </c>
      <c r="D15" s="28">
        <v>102</v>
      </c>
      <c r="E15" s="28">
        <v>72</v>
      </c>
      <c r="F15" s="28">
        <v>100</v>
      </c>
      <c r="G15" s="29">
        <v>43</v>
      </c>
      <c r="H15" s="41">
        <f t="shared" ref="H15:J15" si="7">G15</f>
        <v>43</v>
      </c>
      <c r="I15" s="41">
        <f t="shared" si="7"/>
        <v>43</v>
      </c>
      <c r="J15" s="41">
        <f t="shared" si="7"/>
        <v>43</v>
      </c>
      <c r="P15" s="14"/>
      <c r="Q15" s="42"/>
      <c r="R15" s="42"/>
      <c r="S15" s="42"/>
      <c r="T15" s="42"/>
      <c r="U15" s="42"/>
      <c r="V15" s="42"/>
      <c r="W15" s="42"/>
      <c r="X15" s="42"/>
    </row>
    <row r="16" spans="2:24">
      <c r="B16" s="14" t="s">
        <v>80</v>
      </c>
      <c r="C16" s="28">
        <v>1283</v>
      </c>
      <c r="D16" s="28">
        <v>2945</v>
      </c>
      <c r="E16" s="28">
        <v>2883</v>
      </c>
      <c r="F16" s="28">
        <v>2361</v>
      </c>
      <c r="G16" s="30">
        <v>2117</v>
      </c>
      <c r="H16" s="41">
        <f t="shared" ref="H16:J16" si="8">G16</f>
        <v>2117</v>
      </c>
      <c r="I16" s="41">
        <f t="shared" si="8"/>
        <v>2117</v>
      </c>
      <c r="J16" s="41">
        <f t="shared" si="8"/>
        <v>2117</v>
      </c>
      <c r="P16" s="14"/>
      <c r="Q16" s="42"/>
      <c r="R16" s="42"/>
      <c r="S16" s="42"/>
      <c r="T16" s="42"/>
      <c r="U16" s="42"/>
      <c r="V16" s="42"/>
      <c r="W16" s="42"/>
      <c r="X16" s="42"/>
    </row>
    <row r="17" spans="2:24">
      <c r="B17" s="14" t="s">
        <v>81</v>
      </c>
      <c r="C17" s="28">
        <v>467</v>
      </c>
      <c r="D17" s="28">
        <v>443</v>
      </c>
      <c r="E17" s="28">
        <v>443</v>
      </c>
      <c r="F17" s="28">
        <v>443</v>
      </c>
      <c r="G17" s="29">
        <v>0</v>
      </c>
      <c r="H17" s="41">
        <f t="shared" ref="H17:J17" si="9">G17</f>
        <v>0</v>
      </c>
      <c r="I17" s="41">
        <f t="shared" si="9"/>
        <v>0</v>
      </c>
      <c r="J17" s="41">
        <f t="shared" si="9"/>
        <v>0</v>
      </c>
      <c r="P17" s="14"/>
      <c r="Q17" s="42"/>
      <c r="R17" s="42"/>
      <c r="S17" s="42"/>
      <c r="T17" s="42"/>
      <c r="U17" s="42"/>
      <c r="V17" s="42"/>
      <c r="W17" s="42"/>
      <c r="X17" s="42"/>
    </row>
    <row r="18" spans="2:24">
      <c r="B18" s="14" t="s">
        <v>82</v>
      </c>
      <c r="C18" s="28">
        <v>28</v>
      </c>
      <c r="D18" s="28">
        <v>18</v>
      </c>
      <c r="E18" s="28">
        <v>42</v>
      </c>
      <c r="F18" s="28">
        <v>36</v>
      </c>
      <c r="G18" s="29">
        <v>113</v>
      </c>
      <c r="H18" s="41">
        <f t="shared" ref="H18:J18" si="10">G18</f>
        <v>113</v>
      </c>
      <c r="I18" s="41">
        <f t="shared" si="10"/>
        <v>113</v>
      </c>
      <c r="J18" s="41">
        <f t="shared" si="10"/>
        <v>113</v>
      </c>
      <c r="P18" s="14"/>
      <c r="Q18" s="42"/>
      <c r="R18" s="42"/>
      <c r="S18" s="42"/>
      <c r="T18" s="42"/>
      <c r="U18" s="42"/>
      <c r="V18" s="42"/>
      <c r="W18" s="42"/>
      <c r="X18" s="42"/>
    </row>
    <row r="19" spans="2:24">
      <c r="B19" s="14" t="s">
        <v>74</v>
      </c>
      <c r="C19" s="28">
        <v>3871</v>
      </c>
      <c r="D19" s="28">
        <v>42131</v>
      </c>
      <c r="E19" s="28">
        <v>1237</v>
      </c>
      <c r="F19" s="28">
        <v>3173</v>
      </c>
      <c r="G19" s="29">
        <v>269</v>
      </c>
      <c r="H19" s="41">
        <f t="shared" ref="H19:J19" si="11">G19</f>
        <v>269</v>
      </c>
      <c r="I19" s="41">
        <f t="shared" si="11"/>
        <v>269</v>
      </c>
      <c r="J19" s="41">
        <f t="shared" si="11"/>
        <v>269</v>
      </c>
      <c r="P19" s="14"/>
      <c r="Q19" s="42"/>
      <c r="R19" s="42"/>
      <c r="S19" s="42"/>
      <c r="T19" s="42"/>
      <c r="U19" s="42"/>
      <c r="V19" s="42"/>
      <c r="W19" s="42"/>
      <c r="X19" s="42"/>
    </row>
    <row r="20" spans="2:24">
      <c r="B20" s="14" t="s">
        <v>83</v>
      </c>
      <c r="C20" s="28">
        <v>341</v>
      </c>
      <c r="D20" s="28">
        <v>10062</v>
      </c>
      <c r="E20" s="28">
        <v>13247</v>
      </c>
      <c r="F20" s="28">
        <v>22605</v>
      </c>
      <c r="G20" s="29">
        <v>25371</v>
      </c>
      <c r="H20" s="41">
        <f t="shared" ref="H20:J20" si="12">G20</f>
        <v>25371</v>
      </c>
      <c r="I20" s="41">
        <f t="shared" si="12"/>
        <v>25371</v>
      </c>
      <c r="J20" s="41">
        <f t="shared" si="12"/>
        <v>25371</v>
      </c>
      <c r="P20" s="14"/>
      <c r="Q20" s="42"/>
      <c r="R20" s="42"/>
      <c r="S20" s="42"/>
      <c r="T20" s="42"/>
      <c r="U20" s="42"/>
      <c r="V20" s="42"/>
      <c r="W20" s="42"/>
      <c r="X20" s="42"/>
    </row>
    <row r="21" spans="2:24">
      <c r="B21" s="14" t="s">
        <v>84</v>
      </c>
      <c r="C21" s="32">
        <v>0</v>
      </c>
      <c r="D21" s="32">
        <v>0</v>
      </c>
      <c r="E21" s="32">
        <v>0</v>
      </c>
      <c r="F21" s="32">
        <v>0</v>
      </c>
      <c r="G21" s="29">
        <v>0</v>
      </c>
      <c r="H21" s="41">
        <f t="shared" ref="H21:J21" si="13">G21</f>
        <v>0</v>
      </c>
      <c r="I21" s="41">
        <f t="shared" si="13"/>
        <v>0</v>
      </c>
      <c r="J21" s="41">
        <f t="shared" si="13"/>
        <v>0</v>
      </c>
      <c r="P21" s="14"/>
      <c r="Q21" s="42"/>
      <c r="R21" s="42"/>
      <c r="S21" s="42"/>
      <c r="T21" s="42"/>
      <c r="U21" s="42"/>
      <c r="V21" s="42"/>
      <c r="W21" s="42"/>
      <c r="X21" s="42"/>
    </row>
    <row r="22" spans="2:24">
      <c r="B22" s="14" t="s">
        <v>85</v>
      </c>
      <c r="C22" s="28">
        <v>2317</v>
      </c>
      <c r="D22" s="28">
        <v>2233</v>
      </c>
      <c r="E22" s="28">
        <v>2518</v>
      </c>
      <c r="F22" s="28">
        <v>338</v>
      </c>
      <c r="G22" s="29">
        <v>442</v>
      </c>
      <c r="H22" s="41">
        <f t="shared" ref="H22:J22" si="14">G22</f>
        <v>442</v>
      </c>
      <c r="I22" s="41">
        <f t="shared" si="14"/>
        <v>442</v>
      </c>
      <c r="J22" s="41">
        <f t="shared" si="14"/>
        <v>442</v>
      </c>
      <c r="P22" s="14"/>
      <c r="Q22" s="42"/>
      <c r="R22" s="42"/>
      <c r="S22" s="42"/>
      <c r="T22" s="42"/>
      <c r="U22" s="42"/>
      <c r="V22" s="42"/>
      <c r="W22" s="42"/>
      <c r="X22" s="42"/>
    </row>
    <row r="23" spans="2:24">
      <c r="B23" s="14" t="s">
        <v>86</v>
      </c>
      <c r="C23" s="28">
        <v>3016</v>
      </c>
      <c r="D23" s="28">
        <v>4317</v>
      </c>
      <c r="E23" s="28">
        <v>5769</v>
      </c>
      <c r="F23" s="28">
        <v>6585</v>
      </c>
      <c r="G23" s="29">
        <v>6125</v>
      </c>
      <c r="H23" s="41">
        <f t="shared" ref="H23:J23" si="15">G23</f>
        <v>6125</v>
      </c>
      <c r="I23" s="41">
        <f t="shared" si="15"/>
        <v>6125</v>
      </c>
      <c r="J23" s="41">
        <f t="shared" si="15"/>
        <v>6125</v>
      </c>
      <c r="P23" s="14"/>
      <c r="Q23" s="42"/>
      <c r="R23" s="42"/>
      <c r="S23" s="42"/>
      <c r="T23" s="42"/>
      <c r="U23" s="42"/>
      <c r="V23" s="42"/>
      <c r="W23" s="42"/>
      <c r="X23" s="42"/>
    </row>
    <row r="24" spans="2:24">
      <c r="B24" s="14" t="s">
        <v>87</v>
      </c>
      <c r="C24" s="28">
        <v>35</v>
      </c>
      <c r="D24" s="28">
        <v>70</v>
      </c>
      <c r="E24" s="28">
        <v>85</v>
      </c>
      <c r="F24" s="28">
        <v>119</v>
      </c>
      <c r="G24" s="29">
        <v>112</v>
      </c>
      <c r="H24" s="41">
        <f t="shared" ref="H24:J24" si="16">G24</f>
        <v>112</v>
      </c>
      <c r="I24" s="41">
        <f t="shared" si="16"/>
        <v>112</v>
      </c>
      <c r="J24" s="41">
        <f t="shared" si="16"/>
        <v>112</v>
      </c>
      <c r="P24" s="14"/>
      <c r="Q24" s="42"/>
      <c r="R24" s="42"/>
      <c r="S24" s="42"/>
      <c r="T24" s="42"/>
      <c r="U24" s="42"/>
      <c r="V24" s="42"/>
      <c r="W24" s="42"/>
      <c r="X24" s="42"/>
    </row>
    <row r="25" spans="2:24">
      <c r="B25" s="14" t="s">
        <v>88</v>
      </c>
      <c r="C25" s="28">
        <v>2786</v>
      </c>
      <c r="D25" s="33">
        <v>3032</v>
      </c>
      <c r="E25" s="33">
        <v>3202</v>
      </c>
      <c r="F25" s="33">
        <v>2645</v>
      </c>
      <c r="G25" s="29">
        <v>390</v>
      </c>
      <c r="H25" s="41">
        <f t="shared" ref="H25:J25" si="17">G25</f>
        <v>390</v>
      </c>
      <c r="I25" s="41">
        <f t="shared" si="17"/>
        <v>390</v>
      </c>
      <c r="J25" s="41">
        <f t="shared" si="17"/>
        <v>390</v>
      </c>
      <c r="P25" s="14"/>
      <c r="Q25" s="42"/>
      <c r="R25" s="42"/>
      <c r="S25" s="42"/>
      <c r="T25" s="42"/>
      <c r="U25" s="42"/>
      <c r="V25" s="42"/>
      <c r="W25" s="42"/>
      <c r="X25" s="42"/>
    </row>
    <row r="26" spans="2:24">
      <c r="B26" s="14" t="s">
        <v>112</v>
      </c>
      <c r="C26" s="28">
        <v>0</v>
      </c>
      <c r="D26" s="33">
        <v>1362</v>
      </c>
      <c r="E26" s="33">
        <v>1507</v>
      </c>
      <c r="F26" s="33">
        <v>1680</v>
      </c>
      <c r="G26" s="29">
        <v>1871</v>
      </c>
      <c r="H26" s="41">
        <f t="shared" ref="H26:J26" si="18">G26</f>
        <v>1871</v>
      </c>
      <c r="I26" s="41">
        <f t="shared" si="18"/>
        <v>1871</v>
      </c>
      <c r="J26" s="41">
        <f t="shared" si="18"/>
        <v>1871</v>
      </c>
      <c r="P26" s="14"/>
      <c r="Q26" s="42"/>
      <c r="R26" s="42"/>
      <c r="S26" s="42"/>
      <c r="T26" s="42"/>
      <c r="U26" s="42"/>
      <c r="V26" s="42"/>
      <c r="W26" s="42"/>
      <c r="X26" s="42"/>
    </row>
    <row r="27" spans="2:24">
      <c r="B27" s="15" t="s">
        <v>107</v>
      </c>
      <c r="C27" s="34">
        <f>SUM(C13:C26)</f>
        <v>17515</v>
      </c>
      <c r="D27" s="34">
        <f t="shared" ref="D27:G27" si="19">SUM(D13:D26)</f>
        <v>72466</v>
      </c>
      <c r="E27" s="34">
        <f t="shared" si="19"/>
        <v>39767</v>
      </c>
      <c r="F27" s="34">
        <f t="shared" si="19"/>
        <v>49754</v>
      </c>
      <c r="G27" s="181">
        <f t="shared" si="19"/>
        <v>43632</v>
      </c>
      <c r="H27" s="34">
        <f t="shared" ref="H27" si="20">SUM(H13:H26)</f>
        <v>44479.904188970468</v>
      </c>
      <c r="I27" s="34">
        <f t="shared" ref="I27" si="21">SUM(I13:I26)</f>
        <v>45597.646769724575</v>
      </c>
      <c r="J27" s="34">
        <f t="shared" ref="J27" si="22">SUM(J13:J26)</f>
        <v>47120.52826421443</v>
      </c>
      <c r="P27" s="15"/>
      <c r="Q27" s="42"/>
      <c r="R27" s="42"/>
      <c r="S27" s="42"/>
      <c r="T27" s="42"/>
      <c r="U27" s="42"/>
      <c r="V27" s="42"/>
      <c r="W27" s="42"/>
      <c r="X27" s="42"/>
    </row>
    <row r="28" spans="2:24">
      <c r="B28" s="15" t="s">
        <v>89</v>
      </c>
      <c r="C28" s="21">
        <f>C27+C11</f>
        <v>91513</v>
      </c>
      <c r="D28" s="21">
        <f t="shared" ref="D28:G28" si="23">D27+D11</f>
        <v>179916</v>
      </c>
      <c r="E28" s="21">
        <f t="shared" si="23"/>
        <v>179658</v>
      </c>
      <c r="F28" s="21">
        <f t="shared" si="23"/>
        <v>171391</v>
      </c>
      <c r="G28" s="22">
        <f t="shared" si="23"/>
        <v>214477</v>
      </c>
      <c r="H28" s="21">
        <f t="shared" ref="H28" si="24">H27+H11</f>
        <v>223445.62614888063</v>
      </c>
      <c r="I28" s="21">
        <f t="shared" ref="I28" si="25">I27+I11</f>
        <v>267242.56866360101</v>
      </c>
      <c r="J28" s="21">
        <f t="shared" ref="J28" si="26">J27+J11</f>
        <v>319669.66043744481</v>
      </c>
      <c r="P28" s="15"/>
      <c r="Q28" s="42"/>
      <c r="R28" s="42"/>
      <c r="S28" s="42"/>
      <c r="T28" s="42"/>
      <c r="U28" s="42"/>
      <c r="V28" s="42"/>
      <c r="W28" s="42"/>
      <c r="X28" s="42"/>
    </row>
    <row r="29" spans="2:24">
      <c r="B29" s="16"/>
      <c r="C29" s="16"/>
      <c r="D29" s="16"/>
      <c r="E29" s="16"/>
      <c r="F29" s="16"/>
      <c r="G29" s="23"/>
      <c r="P29" s="16"/>
      <c r="Q29" s="42"/>
      <c r="R29" s="42"/>
      <c r="S29" s="42"/>
      <c r="T29" s="42"/>
      <c r="U29" s="42"/>
      <c r="V29" s="42"/>
      <c r="W29" s="42"/>
      <c r="X29" s="42"/>
    </row>
    <row r="30" spans="2:24">
      <c r="B30" s="14" t="s">
        <v>90</v>
      </c>
      <c r="C30" s="28">
        <f>5996+56</f>
        <v>6052</v>
      </c>
      <c r="D30" s="28">
        <f>7285+229</f>
        <v>7514</v>
      </c>
      <c r="E30" s="28">
        <f>8172+417</f>
        <v>8589</v>
      </c>
      <c r="F30" s="28">
        <f>6529+313</f>
        <v>6842</v>
      </c>
      <c r="G30" s="30">
        <f>7073+336</f>
        <v>7409</v>
      </c>
      <c r="H30" s="13">
        <f>(IS!AJ14-IS!AJ11)*BS!H61/365</f>
        <v>6361.5835603733112</v>
      </c>
      <c r="I30" s="13">
        <f>(IS!AK14-IS!AK11)*BS!I61/365</f>
        <v>9176.44520607501</v>
      </c>
      <c r="J30" s="13">
        <f>(IS!AL14-IS!AL11)*BS!J61/365</f>
        <v>10982.602675207234</v>
      </c>
      <c r="P30" s="14"/>
      <c r="Q30" s="42"/>
      <c r="R30" s="42"/>
      <c r="S30" s="42"/>
      <c r="T30" s="42"/>
      <c r="U30" s="42"/>
      <c r="V30" s="42"/>
      <c r="W30" s="42"/>
      <c r="X30" s="42"/>
    </row>
    <row r="31" spans="2:24">
      <c r="B31" s="14" t="s">
        <v>91</v>
      </c>
      <c r="C31" s="28">
        <v>5449</v>
      </c>
      <c r="D31" s="28">
        <v>1</v>
      </c>
      <c r="E31" s="28">
        <v>20</v>
      </c>
      <c r="F31" s="28">
        <v>0</v>
      </c>
      <c r="G31" s="29">
        <v>48</v>
      </c>
      <c r="H31" s="178">
        <f>G31</f>
        <v>48</v>
      </c>
      <c r="I31" s="178">
        <f t="shared" ref="I31:J31" si="27">H31</f>
        <v>48</v>
      </c>
      <c r="J31" s="178">
        <f t="shared" si="27"/>
        <v>48</v>
      </c>
      <c r="P31" s="14"/>
      <c r="Q31" s="42"/>
      <c r="R31" s="42"/>
      <c r="S31" s="42"/>
      <c r="T31" s="42"/>
      <c r="U31" s="42"/>
      <c r="V31" s="42"/>
      <c r="W31" s="42"/>
      <c r="X31" s="42"/>
    </row>
    <row r="32" spans="2:24">
      <c r="B32" s="14" t="s">
        <v>92</v>
      </c>
      <c r="C32" s="28">
        <v>244</v>
      </c>
      <c r="D32" s="28">
        <v>392</v>
      </c>
      <c r="E32" s="28">
        <v>337</v>
      </c>
      <c r="F32" s="28">
        <v>317</v>
      </c>
      <c r="G32" s="29">
        <v>342</v>
      </c>
      <c r="H32" s="178">
        <v>342</v>
      </c>
      <c r="I32" s="178">
        <v>342</v>
      </c>
      <c r="J32" s="178">
        <v>342</v>
      </c>
      <c r="P32" s="14"/>
      <c r="Q32" s="42"/>
      <c r="R32" s="42"/>
      <c r="S32" s="42"/>
      <c r="T32" s="42"/>
      <c r="U32" s="42"/>
      <c r="V32" s="42"/>
      <c r="W32" s="42"/>
      <c r="X32" s="42"/>
    </row>
    <row r="33" spans="2:24">
      <c r="B33" s="14" t="s">
        <v>93</v>
      </c>
      <c r="C33" s="28">
        <v>5153</v>
      </c>
      <c r="D33" s="28">
        <v>18005</v>
      </c>
      <c r="E33" s="28">
        <v>27586</v>
      </c>
      <c r="F33" s="28">
        <v>19351</v>
      </c>
      <c r="G33" s="29">
        <v>47842</v>
      </c>
      <c r="H33" s="178">
        <v>47842</v>
      </c>
      <c r="I33" s="178">
        <v>47842</v>
      </c>
      <c r="J33" s="178">
        <v>47842</v>
      </c>
      <c r="P33" s="14"/>
      <c r="Q33" s="42"/>
      <c r="R33" s="42"/>
      <c r="S33" s="42"/>
      <c r="T33" s="42"/>
      <c r="U33" s="42"/>
      <c r="V33" s="42"/>
      <c r="W33" s="42"/>
      <c r="X33" s="42"/>
    </row>
    <row r="34" spans="2:24">
      <c r="B34" s="14" t="s">
        <v>94</v>
      </c>
      <c r="C34" s="28">
        <v>2643</v>
      </c>
      <c r="D34" s="28">
        <v>4514</v>
      </c>
      <c r="E34" s="28">
        <v>4189</v>
      </c>
      <c r="F34" s="28">
        <f>3207+99</f>
        <v>3306</v>
      </c>
      <c r="G34" s="30">
        <f>2146+5</f>
        <v>2151</v>
      </c>
      <c r="H34" s="179">
        <f t="shared" ref="H34:J34" si="28">2146+5</f>
        <v>2151</v>
      </c>
      <c r="I34" s="179">
        <f t="shared" si="28"/>
        <v>2151</v>
      </c>
      <c r="J34" s="179">
        <f t="shared" si="28"/>
        <v>2151</v>
      </c>
      <c r="P34" s="14"/>
      <c r="Q34" s="42"/>
      <c r="R34" s="42"/>
      <c r="S34" s="42"/>
      <c r="T34" s="42"/>
      <c r="U34" s="42"/>
      <c r="V34" s="42"/>
      <c r="W34" s="42"/>
      <c r="X34" s="42"/>
    </row>
    <row r="35" spans="2:24">
      <c r="B35" s="14" t="s">
        <v>95</v>
      </c>
      <c r="C35" s="28">
        <v>1581</v>
      </c>
      <c r="D35" s="28">
        <v>2076</v>
      </c>
      <c r="E35" s="28">
        <v>2573</v>
      </c>
      <c r="F35" s="28">
        <v>2624</v>
      </c>
      <c r="G35" s="29">
        <v>1757</v>
      </c>
      <c r="H35" s="178">
        <v>1757</v>
      </c>
      <c r="I35" s="178">
        <v>1757</v>
      </c>
      <c r="J35" s="178">
        <v>1757</v>
      </c>
      <c r="P35" s="14"/>
      <c r="Q35" s="42"/>
      <c r="R35" s="42"/>
      <c r="S35" s="42"/>
      <c r="T35" s="42"/>
      <c r="U35" s="42"/>
      <c r="V35" s="42"/>
      <c r="W35" s="42"/>
      <c r="X35" s="42"/>
    </row>
    <row r="36" spans="2:24">
      <c r="B36" s="14" t="s">
        <v>96</v>
      </c>
      <c r="C36" s="28">
        <v>430</v>
      </c>
      <c r="D36" s="28">
        <v>823</v>
      </c>
      <c r="E36" s="28">
        <v>1575</v>
      </c>
      <c r="F36" s="28">
        <v>2713</v>
      </c>
      <c r="G36" s="29">
        <v>2315</v>
      </c>
      <c r="H36" s="178">
        <v>2315</v>
      </c>
      <c r="I36" s="178">
        <v>2315</v>
      </c>
      <c r="J36" s="178">
        <v>2315</v>
      </c>
      <c r="P36" s="14"/>
      <c r="Q36" s="42"/>
      <c r="R36" s="42"/>
      <c r="S36" s="42"/>
      <c r="T36" s="42"/>
      <c r="U36" s="42"/>
      <c r="V36" s="42"/>
      <c r="W36" s="42"/>
      <c r="X36" s="42"/>
    </row>
    <row r="37" spans="2:24">
      <c r="B37" s="15" t="s">
        <v>97</v>
      </c>
      <c r="C37" s="21">
        <f>SUM(C30:C36)</f>
        <v>21552</v>
      </c>
      <c r="D37" s="21">
        <f>SUM(D30:D36)</f>
        <v>33325</v>
      </c>
      <c r="E37" s="21">
        <f t="shared" ref="E37:J37" si="29">SUM(E30:E36)</f>
        <v>44869</v>
      </c>
      <c r="F37" s="21">
        <f t="shared" si="29"/>
        <v>35153</v>
      </c>
      <c r="G37" s="22">
        <f t="shared" si="29"/>
        <v>61864</v>
      </c>
      <c r="H37" s="177">
        <f t="shared" si="29"/>
        <v>60816.583560373314</v>
      </c>
      <c r="I37" s="177">
        <f t="shared" si="29"/>
        <v>63631.445206075012</v>
      </c>
      <c r="J37" s="177">
        <f t="shared" si="29"/>
        <v>65437.602675207236</v>
      </c>
      <c r="P37" s="15"/>
      <c r="Q37" s="42"/>
      <c r="R37" s="42"/>
      <c r="S37" s="42"/>
      <c r="T37" s="42"/>
      <c r="U37" s="42"/>
      <c r="V37" s="42"/>
      <c r="W37" s="42"/>
      <c r="X37" s="42"/>
    </row>
    <row r="38" spans="2:24">
      <c r="B38" s="17"/>
      <c r="C38" s="16"/>
      <c r="D38" s="16"/>
      <c r="E38" s="16"/>
      <c r="F38" s="16"/>
      <c r="G38" s="23"/>
      <c r="I38" s="36"/>
      <c r="J38" s="36"/>
      <c r="P38" s="17"/>
      <c r="Q38" s="42"/>
      <c r="R38" s="42"/>
      <c r="S38" s="42"/>
      <c r="T38" s="42"/>
      <c r="U38" s="42"/>
      <c r="V38" s="42"/>
      <c r="W38" s="42"/>
      <c r="X38" s="42"/>
    </row>
    <row r="39" spans="2:24">
      <c r="B39" s="14" t="s">
        <v>92</v>
      </c>
      <c r="C39" s="28">
        <v>427</v>
      </c>
      <c r="D39" s="28">
        <v>1822</v>
      </c>
      <c r="E39" s="28">
        <v>1876</v>
      </c>
      <c r="F39" s="28">
        <v>1449</v>
      </c>
      <c r="G39" s="29">
        <v>1214</v>
      </c>
      <c r="H39" s="41">
        <f>G39</f>
        <v>1214</v>
      </c>
      <c r="I39" s="180">
        <f t="shared" ref="I39:J39" si="30">H39</f>
        <v>1214</v>
      </c>
      <c r="J39" s="180">
        <f t="shared" si="30"/>
        <v>1214</v>
      </c>
      <c r="P39" s="14"/>
      <c r="Q39" s="42"/>
      <c r="R39" s="42"/>
      <c r="S39" s="42"/>
      <c r="T39" s="42"/>
      <c r="U39" s="42"/>
      <c r="V39" s="42"/>
      <c r="W39" s="42"/>
      <c r="X39" s="42"/>
    </row>
    <row r="40" spans="2:24">
      <c r="B40" s="14" t="s">
        <v>96</v>
      </c>
      <c r="C40" s="28">
        <v>247</v>
      </c>
      <c r="D40" s="28">
        <v>307</v>
      </c>
      <c r="E40" s="28">
        <v>617</v>
      </c>
      <c r="F40" s="28">
        <v>1081</v>
      </c>
      <c r="G40" s="29">
        <v>909</v>
      </c>
      <c r="H40" s="41">
        <f t="shared" ref="H40:J40" si="31">G40</f>
        <v>909</v>
      </c>
      <c r="I40" s="180">
        <f t="shared" si="31"/>
        <v>909</v>
      </c>
      <c r="J40" s="180">
        <f t="shared" si="31"/>
        <v>909</v>
      </c>
      <c r="P40" s="14"/>
      <c r="Q40" s="42"/>
      <c r="R40" s="42"/>
      <c r="S40" s="42"/>
      <c r="T40" s="42"/>
      <c r="U40" s="42"/>
      <c r="V40" s="42"/>
      <c r="W40" s="42"/>
      <c r="X40" s="42"/>
    </row>
    <row r="41" spans="2:24">
      <c r="B41" s="14" t="s">
        <v>95</v>
      </c>
      <c r="C41" s="28">
        <v>4119</v>
      </c>
      <c r="D41" s="28">
        <v>3165</v>
      </c>
      <c r="E41" s="28">
        <v>2367</v>
      </c>
      <c r="F41" s="28">
        <f>518+206</f>
        <v>724</v>
      </c>
      <c r="G41" s="29">
        <f>376+143</f>
        <v>519</v>
      </c>
      <c r="H41" s="41">
        <f t="shared" ref="H41:J41" si="32">G41</f>
        <v>519</v>
      </c>
      <c r="I41" s="180">
        <f t="shared" si="32"/>
        <v>519</v>
      </c>
      <c r="J41" s="180">
        <f t="shared" si="32"/>
        <v>519</v>
      </c>
      <c r="P41" s="14"/>
      <c r="Q41" s="42"/>
      <c r="R41" s="42"/>
      <c r="S41" s="42"/>
      <c r="T41" s="42"/>
      <c r="U41" s="42"/>
      <c r="V41" s="42"/>
      <c r="W41" s="42"/>
      <c r="X41" s="42"/>
    </row>
    <row r="42" spans="2:24">
      <c r="B42" s="14" t="s">
        <v>98</v>
      </c>
      <c r="C42" s="28">
        <v>6</v>
      </c>
      <c r="D42" s="28">
        <v>2</v>
      </c>
      <c r="E42" s="28">
        <v>0</v>
      </c>
      <c r="F42" s="28">
        <v>0</v>
      </c>
      <c r="G42" s="35">
        <v>0</v>
      </c>
      <c r="H42" s="41">
        <f t="shared" ref="H42:J42" si="33">G42</f>
        <v>0</v>
      </c>
      <c r="I42" s="180">
        <f t="shared" si="33"/>
        <v>0</v>
      </c>
      <c r="J42" s="180">
        <f t="shared" si="33"/>
        <v>0</v>
      </c>
      <c r="P42" s="14"/>
      <c r="Q42" s="42"/>
      <c r="R42" s="42"/>
      <c r="S42" s="42"/>
      <c r="T42" s="42"/>
      <c r="U42" s="42"/>
      <c r="V42" s="42"/>
      <c r="W42" s="42"/>
      <c r="X42" s="42"/>
    </row>
    <row r="43" spans="2:24">
      <c r="B43" s="15" t="s">
        <v>99</v>
      </c>
      <c r="C43" s="21">
        <f t="shared" ref="C43:G43" si="34">SUM(C39:C42)</f>
        <v>4799</v>
      </c>
      <c r="D43" s="21">
        <f t="shared" si="34"/>
        <v>5296</v>
      </c>
      <c r="E43" s="21">
        <f t="shared" si="34"/>
        <v>4860</v>
      </c>
      <c r="F43" s="21">
        <f t="shared" si="34"/>
        <v>3254</v>
      </c>
      <c r="G43" s="22">
        <f t="shared" si="34"/>
        <v>2642</v>
      </c>
      <c r="H43" s="177">
        <f t="shared" ref="H43:J43" si="35">SUM(H39:H42)</f>
        <v>2642</v>
      </c>
      <c r="I43" s="177">
        <f t="shared" si="35"/>
        <v>2642</v>
      </c>
      <c r="J43" s="177">
        <f t="shared" si="35"/>
        <v>2642</v>
      </c>
      <c r="P43" s="15"/>
      <c r="Q43" s="42"/>
      <c r="R43" s="42"/>
      <c r="S43" s="42"/>
      <c r="T43" s="42"/>
      <c r="U43" s="42"/>
      <c r="V43" s="42"/>
      <c r="W43" s="42"/>
      <c r="X43" s="42"/>
    </row>
    <row r="44" spans="2:24">
      <c r="B44" s="15" t="s">
        <v>100</v>
      </c>
      <c r="C44" s="21">
        <f t="shared" ref="C44:G44" si="36">C37+C43</f>
        <v>26351</v>
      </c>
      <c r="D44" s="21">
        <f t="shared" si="36"/>
        <v>38621</v>
      </c>
      <c r="E44" s="21">
        <f t="shared" si="36"/>
        <v>49729</v>
      </c>
      <c r="F44" s="21">
        <f t="shared" si="36"/>
        <v>38407</v>
      </c>
      <c r="G44" s="22">
        <f t="shared" si="36"/>
        <v>64506</v>
      </c>
      <c r="H44" s="177">
        <f t="shared" ref="H44:J44" si="37">H37+H43</f>
        <v>63458.583560373314</v>
      </c>
      <c r="I44" s="177">
        <f t="shared" si="37"/>
        <v>66273.445206075005</v>
      </c>
      <c r="J44" s="177">
        <f t="shared" si="37"/>
        <v>68079.602675207236</v>
      </c>
      <c r="P44" s="15"/>
      <c r="Q44" s="42"/>
      <c r="R44" s="42"/>
      <c r="S44" s="42"/>
      <c r="T44" s="42"/>
      <c r="U44" s="42"/>
      <c r="V44" s="42"/>
      <c r="W44" s="42"/>
      <c r="X44" s="42"/>
    </row>
    <row r="45" spans="2:24">
      <c r="B45" s="18"/>
      <c r="C45" s="16"/>
      <c r="D45" s="16"/>
      <c r="E45" s="16"/>
      <c r="F45" s="16"/>
      <c r="G45" s="23"/>
      <c r="I45" s="36"/>
      <c r="J45" s="36"/>
      <c r="P45" s="18"/>
      <c r="Q45" s="42"/>
      <c r="R45" s="42"/>
      <c r="S45" s="42"/>
      <c r="T45" s="42"/>
      <c r="U45" s="42"/>
      <c r="V45" s="42"/>
      <c r="W45" s="42"/>
      <c r="X45" s="42"/>
    </row>
    <row r="46" spans="2:24">
      <c r="B46" s="14" t="s">
        <v>101</v>
      </c>
      <c r="C46" s="28">
        <v>605</v>
      </c>
      <c r="D46" s="28">
        <v>649</v>
      </c>
      <c r="E46" s="28">
        <v>634</v>
      </c>
      <c r="F46" s="28">
        <v>636</v>
      </c>
      <c r="G46" s="29">
        <v>638</v>
      </c>
      <c r="H46" s="178">
        <f>G46</f>
        <v>638</v>
      </c>
      <c r="I46" s="178">
        <f t="shared" ref="I46:J46" si="38">H46</f>
        <v>638</v>
      </c>
      <c r="J46" s="178">
        <f t="shared" si="38"/>
        <v>638</v>
      </c>
      <c r="P46" s="14"/>
      <c r="Q46" s="42"/>
      <c r="R46" s="42"/>
      <c r="S46" s="42"/>
      <c r="T46" s="42"/>
      <c r="U46" s="42"/>
      <c r="V46" s="42"/>
      <c r="W46" s="42"/>
      <c r="X46" s="42"/>
    </row>
    <row r="47" spans="2:24" s="36" customFormat="1">
      <c r="B47" s="14" t="s">
        <v>117</v>
      </c>
      <c r="C47" s="28">
        <v>64743</v>
      </c>
      <c r="D47" s="28">
        <v>140867</v>
      </c>
      <c r="E47" s="28">
        <v>129522</v>
      </c>
      <c r="F47" s="28">
        <v>132630</v>
      </c>
      <c r="G47" s="29">
        <v>149629</v>
      </c>
      <c r="H47" s="178">
        <f>G47+IS!Y27</f>
        <v>151879</v>
      </c>
      <c r="I47" s="178">
        <f>H47+IS!Z27</f>
        <v>155338.79959253114</v>
      </c>
      <c r="J47" s="178">
        <f>I47+IS!AA27</f>
        <v>157902.89482510611</v>
      </c>
      <c r="K47"/>
      <c r="P47" s="14"/>
      <c r="Q47" s="42"/>
      <c r="R47" s="42"/>
      <c r="S47" s="42"/>
      <c r="T47" s="42"/>
      <c r="U47" s="42"/>
      <c r="V47" s="42"/>
      <c r="W47" s="42"/>
      <c r="X47" s="42"/>
    </row>
    <row r="48" spans="2:24" s="36" customFormat="1">
      <c r="B48" s="14" t="s">
        <v>118</v>
      </c>
      <c r="C48" s="28">
        <v>1125</v>
      </c>
      <c r="D48" s="28">
        <v>8225</v>
      </c>
      <c r="E48" s="28">
        <v>14555</v>
      </c>
      <c r="F48" s="28">
        <v>14662</v>
      </c>
      <c r="G48" s="29">
        <v>8154</v>
      </c>
      <c r="H48" s="178">
        <f>G48</f>
        <v>8154</v>
      </c>
      <c r="I48" s="178">
        <f t="shared" ref="I48:J48" si="39">H48</f>
        <v>8154</v>
      </c>
      <c r="J48" s="178">
        <f t="shared" si="39"/>
        <v>8154</v>
      </c>
      <c r="K48"/>
      <c r="P48" s="14"/>
      <c r="Q48" s="42"/>
      <c r="R48" s="42"/>
      <c r="S48" s="42"/>
      <c r="T48" s="42"/>
      <c r="U48" s="42"/>
      <c r="V48" s="42"/>
      <c r="W48" s="42"/>
      <c r="X48" s="42"/>
    </row>
    <row r="49" spans="2:30">
      <c r="B49" s="15" t="s">
        <v>102</v>
      </c>
      <c r="C49" s="21">
        <f>SUM(C46:C47)</f>
        <v>65348</v>
      </c>
      <c r="D49" s="21">
        <f>SUM(D46:D47)</f>
        <v>141516</v>
      </c>
      <c r="E49" s="21">
        <f>SUM(E46:E47)</f>
        <v>130156</v>
      </c>
      <c r="F49" s="21">
        <f>SUM(F46:F47)</f>
        <v>133266</v>
      </c>
      <c r="G49" s="22">
        <f>SUM(G46:G47)</f>
        <v>150267</v>
      </c>
      <c r="H49" s="177">
        <f>SUM(H46:H48)</f>
        <v>160671</v>
      </c>
      <c r="I49" s="177">
        <f t="shared" ref="I49:J49" si="40">SUM(I46:I48)</f>
        <v>164130.79959253114</v>
      </c>
      <c r="J49" s="177">
        <f t="shared" si="40"/>
        <v>166694.89482510611</v>
      </c>
      <c r="P49" s="15"/>
      <c r="Q49" s="42"/>
      <c r="R49" s="42"/>
      <c r="S49" s="42"/>
      <c r="T49" s="42"/>
      <c r="U49" s="42"/>
      <c r="V49" s="42"/>
      <c r="W49" s="42"/>
      <c r="X49" s="42"/>
    </row>
    <row r="50" spans="2:30">
      <c r="B50" s="14" t="s">
        <v>103</v>
      </c>
      <c r="C50" s="19">
        <v>-186</v>
      </c>
      <c r="D50" s="19">
        <v>-221</v>
      </c>
      <c r="E50" s="19">
        <v>-227</v>
      </c>
      <c r="F50" s="19">
        <v>-282</v>
      </c>
      <c r="G50" s="20">
        <v>-296</v>
      </c>
      <c r="H50" s="40">
        <f t="shared" ref="H50:J50" si="41">G50</f>
        <v>-296</v>
      </c>
      <c r="I50" s="40">
        <f t="shared" si="41"/>
        <v>-296</v>
      </c>
      <c r="J50" s="40">
        <f t="shared" si="41"/>
        <v>-296</v>
      </c>
      <c r="P50" s="14"/>
      <c r="Q50" s="42"/>
      <c r="R50" s="42"/>
      <c r="S50" s="42"/>
      <c r="T50" s="42"/>
      <c r="U50" s="42"/>
      <c r="V50" s="42"/>
      <c r="W50" s="42"/>
      <c r="X50" s="42"/>
    </row>
    <row r="51" spans="2:30">
      <c r="B51" s="15" t="s">
        <v>104</v>
      </c>
      <c r="C51" s="21">
        <f>SUM(C49:C50)</f>
        <v>65162</v>
      </c>
      <c r="D51" s="21">
        <f>SUM(D49:D50)</f>
        <v>141295</v>
      </c>
      <c r="E51" s="21">
        <f t="shared" ref="E51:J51" si="42">SUM(E49:E50)</f>
        <v>129929</v>
      </c>
      <c r="F51" s="21">
        <f t="shared" si="42"/>
        <v>132984</v>
      </c>
      <c r="G51" s="22">
        <f t="shared" si="42"/>
        <v>149971</v>
      </c>
      <c r="H51" s="177">
        <f t="shared" si="42"/>
        <v>160375</v>
      </c>
      <c r="I51" s="177">
        <f t="shared" si="42"/>
        <v>163834.79959253114</v>
      </c>
      <c r="J51" s="177">
        <f t="shared" si="42"/>
        <v>166398.89482510611</v>
      </c>
      <c r="P51" s="15"/>
      <c r="Q51" s="42"/>
      <c r="R51" s="42"/>
      <c r="S51" s="42"/>
      <c r="T51" s="42"/>
      <c r="U51" s="42"/>
      <c r="V51" s="42"/>
      <c r="W51" s="42"/>
      <c r="X51" s="42"/>
    </row>
    <row r="52" spans="2:30">
      <c r="B52" s="15" t="s">
        <v>105</v>
      </c>
      <c r="C52" s="21">
        <f>SUM(C44,C51)</f>
        <v>91513</v>
      </c>
      <c r="D52" s="21">
        <f>SUM(D44,D51)</f>
        <v>179916</v>
      </c>
      <c r="E52" s="21">
        <f>SUM(E44,E51)</f>
        <v>179658</v>
      </c>
      <c r="F52" s="21">
        <f>SUM(F44,F51)</f>
        <v>171391</v>
      </c>
      <c r="G52" s="22">
        <f>SUM(G44,G51)</f>
        <v>214477</v>
      </c>
      <c r="H52" s="177">
        <f>SUM(H44,H51) - 387.957</f>
        <v>223445.62656037332</v>
      </c>
      <c r="I52" s="177">
        <f>SUM(I44,I51) + 37134.324</f>
        <v>267242.56879860617</v>
      </c>
      <c r="J52" s="177">
        <f>SUM(J44,J51) +85191.163</f>
        <v>319669.66050031333</v>
      </c>
      <c r="P52" s="15"/>
      <c r="Q52" s="42"/>
      <c r="R52" s="42"/>
      <c r="S52" s="42"/>
      <c r="T52" s="42"/>
      <c r="U52" s="42"/>
      <c r="V52" s="42"/>
      <c r="W52" s="42"/>
      <c r="X52" s="42"/>
    </row>
    <row r="54" spans="2:30">
      <c r="B54" s="25" t="s">
        <v>106</v>
      </c>
      <c r="C54" s="24" t="str" cm="1">
        <f t="array" ref="C54">IF(C52=C28,"-",_xludf.error)</f>
        <v>-</v>
      </c>
      <c r="D54" s="24" t="str" cm="1">
        <f t="array" ref="D54">IF(D52=D28,"-",_xludf.error)</f>
        <v>-</v>
      </c>
      <c r="E54" s="24" t="str" cm="1">
        <f t="array" ref="E54">IF(E52=E28,"-",_xludf.error)</f>
        <v>-</v>
      </c>
      <c r="F54" s="24" t="str" cm="1">
        <f t="array" ref="F54">IF(F52=F28,"-",_xludf.error)</f>
        <v>-</v>
      </c>
      <c r="G54" s="24" t="str" cm="1">
        <f t="array" ref="G54">IF(G52=G28,"-",_xludf.error)</f>
        <v>-</v>
      </c>
      <c r="H54" s="24" t="str">
        <f>IF(ABS(H52-H28)&lt;0.01,"-","FALSE")</f>
        <v>-</v>
      </c>
      <c r="I54" s="24" t="str">
        <f t="shared" ref="I54:J54" si="43">IF(ABS(ROUND(I52,2)-ROUND(I28,2))&lt;0.01, "-", FALSE)</f>
        <v>-</v>
      </c>
      <c r="J54" s="24" t="str">
        <f t="shared" si="43"/>
        <v>-</v>
      </c>
      <c r="K54" s="24"/>
    </row>
    <row r="55" spans="2:30">
      <c r="H55" s="118"/>
      <c r="I55" s="118"/>
      <c r="J55" s="118"/>
    </row>
    <row r="56" spans="2:30">
      <c r="B56" t="s">
        <v>197</v>
      </c>
      <c r="C56" s="41">
        <f>C31+C32+C39-C4-C5-C7</f>
        <v>-24116</v>
      </c>
      <c r="D56" s="41">
        <f t="shared" ref="D56:J56" si="44">D31+D32+D39-D4-D5-D7</f>
        <v>-49805</v>
      </c>
      <c r="E56" s="41">
        <f t="shared" si="44"/>
        <v>-79368</v>
      </c>
      <c r="F56" s="41">
        <f t="shared" si="44"/>
        <v>-74036</v>
      </c>
      <c r="G56" s="41">
        <f t="shared" si="44"/>
        <v>-129876</v>
      </c>
      <c r="H56" s="41">
        <f t="shared" si="44"/>
        <v>-145698.73372734396</v>
      </c>
      <c r="I56" s="41">
        <f t="shared" si="44"/>
        <v>-184296.1305484472</v>
      </c>
      <c r="J56" s="41">
        <f t="shared" si="44"/>
        <v>-229531.7127917452</v>
      </c>
    </row>
    <row r="58" spans="2:30">
      <c r="B58" s="27" t="s">
        <v>108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60" spans="2:30">
      <c r="B60" s="37" t="s">
        <v>109</v>
      </c>
    </row>
    <row r="61" spans="2:30">
      <c r="B61" s="38" t="s">
        <v>111</v>
      </c>
      <c r="C61" s="39">
        <f>C6/(IS!AJ8/365)</f>
        <v>61.384705966314584</v>
      </c>
      <c r="D61" s="39">
        <f>D6/(IS!AK8/365)</f>
        <v>54.769812231112539</v>
      </c>
      <c r="E61" s="39">
        <f>E6/(IS!AL8/365)</f>
        <v>57.228389422174388</v>
      </c>
      <c r="F61" s="39">
        <f>F6/(IS!AM8/365)</f>
        <v>60.385209016105911</v>
      </c>
      <c r="G61" s="39">
        <f>G6/(IS!AN8/365)</f>
        <v>68.600153614283229</v>
      </c>
      <c r="H61" s="13">
        <f>G61</f>
        <v>68.600153614283229</v>
      </c>
      <c r="I61" s="13">
        <f t="shared" ref="I61:J61" si="45">H61</f>
        <v>68.600153614283229</v>
      </c>
      <c r="J61" s="13">
        <f t="shared" si="45"/>
        <v>68.600153614283229</v>
      </c>
    </row>
    <row r="62" spans="2:30">
      <c r="B62" s="38" t="s">
        <v>110</v>
      </c>
      <c r="C62" s="39">
        <f>C30/((IS!AJ14-IS!AJ11)/365)</f>
        <v>65.261758449539116</v>
      </c>
      <c r="D62" s="39">
        <f>D30/((IS!AK14-IS!AK11)/365)</f>
        <v>56.172247823860722</v>
      </c>
      <c r="E62" s="39">
        <f>E30/((IS!AL14-IS!AL11)/365)</f>
        <v>53.649097287584496</v>
      </c>
      <c r="F62" s="39">
        <f>F30/((IS!AM14-IS!AM11)/365)</f>
        <v>39.669753625720773</v>
      </c>
      <c r="G62" s="39">
        <f>G30/((IS!AN14-IS!AN11)/365)</f>
        <v>52.830448542627181</v>
      </c>
      <c r="H62" s="13">
        <f>G62</f>
        <v>52.830448542627181</v>
      </c>
      <c r="I62" s="13">
        <f t="shared" ref="I62:J62" si="46">H62</f>
        <v>52.830448542627181</v>
      </c>
      <c r="J62" s="13">
        <f t="shared" si="46"/>
        <v>52.830448542627181</v>
      </c>
    </row>
    <row r="63" spans="2:30">
      <c r="H63" s="13"/>
      <c r="I63" s="13"/>
      <c r="J63" s="13"/>
    </row>
    <row r="64" spans="2:30">
      <c r="B64" s="6" t="s">
        <v>113</v>
      </c>
      <c r="H64" s="13"/>
      <c r="I64" s="13"/>
      <c r="J64" s="13"/>
    </row>
    <row r="65" spans="2:10">
      <c r="B65" t="s">
        <v>114</v>
      </c>
      <c r="D65" s="41">
        <f>C70</f>
        <v>2992</v>
      </c>
      <c r="E65" s="41">
        <f t="shared" ref="E65:G65" si="47">D70</f>
        <v>5616</v>
      </c>
      <c r="F65" s="41">
        <f t="shared" si="47"/>
        <v>8293</v>
      </c>
      <c r="G65" s="41">
        <f t="shared" si="47"/>
        <v>9309</v>
      </c>
      <c r="H65" s="13">
        <f>G70</f>
        <v>6454</v>
      </c>
      <c r="I65" s="13">
        <f t="shared" ref="I65:J65" si="48">H70</f>
        <v>7301.9041889704649</v>
      </c>
      <c r="J65" s="13">
        <f t="shared" si="48"/>
        <v>8419.6467697245753</v>
      </c>
    </row>
    <row r="66" spans="2:10">
      <c r="B66" t="s">
        <v>115</v>
      </c>
      <c r="C66" s="28">
        <v>1927</v>
      </c>
      <c r="D66" s="28">
        <v>5071</v>
      </c>
      <c r="E66" s="28">
        <v>7052</v>
      </c>
      <c r="F66" s="28">
        <v>8217</v>
      </c>
      <c r="G66" s="30">
        <v>3219</v>
      </c>
      <c r="H66" s="13">
        <f>H67*IS!AO8</f>
        <v>5087.4251338227896</v>
      </c>
      <c r="I66" s="13">
        <f>I67*IS!AP8</f>
        <v>6706.4554845246612</v>
      </c>
      <c r="J66" s="13">
        <f>J67*IS!AQ8</f>
        <v>9137.2889669391188</v>
      </c>
    </row>
    <row r="67" spans="2:10">
      <c r="B67" s="83" t="s">
        <v>134</v>
      </c>
      <c r="C67" s="84">
        <f>C66/IS!AJ8</f>
        <v>6.8762489294890095E-2</v>
      </c>
      <c r="D67" s="84">
        <f>D66/IS!AK8</f>
        <v>0.10194604157452454</v>
      </c>
      <c r="E67" s="84">
        <f>E66/IS!AL8</f>
        <v>8.8257011626597243E-2</v>
      </c>
      <c r="F67" s="84">
        <f>F66/IS!AM8</f>
        <v>8.2353648636459303E-2</v>
      </c>
      <c r="G67" s="84">
        <f>G66/IS!AN8</f>
        <v>4.664946959596545E-2</v>
      </c>
      <c r="H67" s="123">
        <v>0.06</v>
      </c>
      <c r="I67" s="123">
        <v>0.06</v>
      </c>
      <c r="J67" s="123">
        <v>0.06</v>
      </c>
    </row>
    <row r="68" spans="2:10">
      <c r="B68" t="s">
        <v>116</v>
      </c>
      <c r="C68" s="13">
        <f>IS!AJ16</f>
        <v>1785</v>
      </c>
      <c r="D68" s="13">
        <f>IS!AK16</f>
        <v>2473</v>
      </c>
      <c r="E68" s="13">
        <f>IS!AL16</f>
        <v>4853</v>
      </c>
      <c r="F68" s="13">
        <f>IS!AM16</f>
        <v>7357</v>
      </c>
      <c r="G68" s="13">
        <f>IS!AN16</f>
        <v>6726</v>
      </c>
      <c r="H68" s="13">
        <f>H69*IS!AO8</f>
        <v>4239.5209448523246</v>
      </c>
      <c r="I68" s="13">
        <f>I69*IS!AP8</f>
        <v>5588.7129037705517</v>
      </c>
      <c r="J68" s="13">
        <f>J69*IS!AQ8</f>
        <v>7614.4074724492666</v>
      </c>
    </row>
    <row r="69" spans="2:10">
      <c r="B69" s="83" t="s">
        <v>136</v>
      </c>
      <c r="C69" s="42">
        <f>C68/IS!AJ8</f>
        <v>6.3695403939480449E-2</v>
      </c>
      <c r="D69" s="42">
        <f>D68/IS!AK8</f>
        <v>4.9716537332636403E-2</v>
      </c>
      <c r="E69" s="42">
        <f>E68/IS!AL8</f>
        <v>6.0736142572869606E-2</v>
      </c>
      <c r="F69" s="42">
        <f>F68/IS!AM8</f>
        <v>7.3734427773935879E-2</v>
      </c>
      <c r="G69" s="42">
        <f>G68/IS!AN8</f>
        <v>9.7472610283461825E-2</v>
      </c>
      <c r="H69" s="123">
        <v>0.05</v>
      </c>
      <c r="I69" s="123">
        <v>0.05</v>
      </c>
      <c r="J69" s="123">
        <v>0.05</v>
      </c>
    </row>
    <row r="70" spans="2:10">
      <c r="B70" s="6" t="s">
        <v>135</v>
      </c>
      <c r="C70" s="43">
        <f>C13</f>
        <v>2992</v>
      </c>
      <c r="D70" s="43">
        <f t="shared" ref="D70:G70" si="49">D13</f>
        <v>5616</v>
      </c>
      <c r="E70" s="43">
        <f t="shared" si="49"/>
        <v>8293</v>
      </c>
      <c r="F70" s="43">
        <f t="shared" si="49"/>
        <v>9309</v>
      </c>
      <c r="G70" s="43">
        <f t="shared" si="49"/>
        <v>6454</v>
      </c>
      <c r="H70" s="124">
        <f>H65+H66-H68</f>
        <v>7301.9041889704649</v>
      </c>
      <c r="I70" s="124">
        <f t="shared" ref="I70:J70" si="50">I65+I66-I68</f>
        <v>8419.6467697245753</v>
      </c>
      <c r="J70" s="124">
        <f t="shared" si="50"/>
        <v>9942.5282642144266</v>
      </c>
    </row>
  </sheetData>
  <dataValidations count="1">
    <dataValidation allowBlank="1" sqref="B4:B11 B13:B28 B30:B52 B60:B62 P4:P11 P13:P28 P30:P52" xr:uid="{44BDDCE1-BDDB-44C6-AB28-9A51F58623DA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AF2B-4066-43F7-8757-1559AC81F979}">
  <dimension ref="B2:J51"/>
  <sheetViews>
    <sheetView workbookViewId="0">
      <pane xSplit="2" ySplit="3" topLeftCell="C4" activePane="bottomRight" state="frozen"/>
      <selection pane="bottomLeft" activeCell="A4" sqref="A4"/>
      <selection pane="topRight" activeCell="C1" sqref="C1"/>
      <selection pane="bottomRight" activeCell="G6" sqref="G6"/>
    </sheetView>
  </sheetViews>
  <sheetFormatPr defaultRowHeight="15"/>
  <cols>
    <col min="2" max="2" width="38.60546875" bestFit="1" customWidth="1"/>
    <col min="3" max="3" width="8.47265625" customWidth="1"/>
  </cols>
  <sheetData>
    <row r="2" spans="2:10">
      <c r="B2" s="6" t="s">
        <v>138</v>
      </c>
    </row>
    <row r="3" spans="2:10">
      <c r="B3" s="12" t="s">
        <v>68</v>
      </c>
      <c r="C3" s="2" t="s">
        <v>32</v>
      </c>
      <c r="D3" s="2" t="s">
        <v>33</v>
      </c>
      <c r="E3" s="2" t="s">
        <v>34</v>
      </c>
      <c r="F3" s="2" t="s">
        <v>35</v>
      </c>
      <c r="G3" s="3" t="s">
        <v>36</v>
      </c>
      <c r="H3" s="2" t="s">
        <v>37</v>
      </c>
      <c r="I3" s="2" t="s">
        <v>38</v>
      </c>
      <c r="J3" s="2" t="s">
        <v>39</v>
      </c>
    </row>
    <row r="5" spans="2:10">
      <c r="B5" s="100" t="s">
        <v>57</v>
      </c>
      <c r="C5" s="106">
        <v>-16983</v>
      </c>
      <c r="D5" s="106">
        <v>-23851</v>
      </c>
      <c r="E5" s="106">
        <v>-17429</v>
      </c>
      <c r="F5" s="106">
        <v>-13904</v>
      </c>
      <c r="G5" s="107">
        <v>-6452</v>
      </c>
      <c r="H5" s="13">
        <f>IS!AO27</f>
        <v>7144.7995925311534</v>
      </c>
      <c r="I5" s="13">
        <f>IS!AP27</f>
        <v>11914.855982469486</v>
      </c>
      <c r="J5" s="13">
        <f>IS!AQ27</f>
        <v>16763.758674449818</v>
      </c>
    </row>
    <row r="6" spans="2:10">
      <c r="B6" s="16" t="s">
        <v>52</v>
      </c>
      <c r="C6" s="28">
        <v>1785</v>
      </c>
      <c r="D6" s="28">
        <v>2473</v>
      </c>
      <c r="E6" s="28">
        <v>4853</v>
      </c>
      <c r="F6" s="28">
        <v>7357</v>
      </c>
      <c r="G6" s="29">
        <v>6726</v>
      </c>
      <c r="H6">
        <f>BS!H68</f>
        <v>4239.5209448523246</v>
      </c>
      <c r="I6">
        <f>BS!I68</f>
        <v>5588.7129037705517</v>
      </c>
      <c r="J6">
        <f>BS!J68</f>
        <v>7614.4074724492666</v>
      </c>
    </row>
    <row r="7" spans="2:10">
      <c r="B7" s="16" t="s">
        <v>139</v>
      </c>
      <c r="C7" s="28">
        <f>-2229-218</f>
        <v>-2447</v>
      </c>
      <c r="D7" s="28">
        <f>-2518-92</f>
        <v>-2610</v>
      </c>
      <c r="E7" s="28">
        <f>-2778-411</f>
        <v>-3189</v>
      </c>
      <c r="F7" s="28">
        <f>+-2637-1916</f>
        <v>-4553</v>
      </c>
      <c r="G7" s="29">
        <f>+-2565-2876</f>
        <v>-5441</v>
      </c>
      <c r="H7">
        <v>0</v>
      </c>
      <c r="I7">
        <v>0</v>
      </c>
      <c r="J7">
        <v>0</v>
      </c>
    </row>
    <row r="8" spans="2:10">
      <c r="B8" s="16" t="s">
        <v>140</v>
      </c>
      <c r="C8" s="28">
        <f>216+123</f>
        <v>339</v>
      </c>
      <c r="D8" s="28">
        <f>294+86</f>
        <v>380</v>
      </c>
      <c r="E8" s="28">
        <f>1+198</f>
        <v>199</v>
      </c>
      <c r="F8" s="28">
        <v>178</v>
      </c>
      <c r="G8" s="29">
        <v>143</v>
      </c>
      <c r="H8">
        <v>0</v>
      </c>
      <c r="I8">
        <v>0</v>
      </c>
      <c r="J8">
        <v>0</v>
      </c>
    </row>
    <row r="9" spans="2:10">
      <c r="B9" s="16" t="s">
        <v>141</v>
      </c>
      <c r="C9" s="28">
        <f>67-30+300+3+0</f>
        <v>340</v>
      </c>
      <c r="D9" s="28">
        <f>391-19+11+24+0</f>
        <v>407</v>
      </c>
      <c r="E9" s="28">
        <f>143-92+17</f>
        <v>68</v>
      </c>
      <c r="F9" s="28">
        <f>122-161+4</f>
        <v>-35</v>
      </c>
      <c r="G9" s="29">
        <f>552-220+4</f>
        <v>336</v>
      </c>
      <c r="H9">
        <v>0</v>
      </c>
      <c r="I9">
        <v>0</v>
      </c>
      <c r="J9">
        <v>0</v>
      </c>
    </row>
    <row r="10" spans="2:10">
      <c r="B10" s="16" t="s">
        <v>142</v>
      </c>
      <c r="C10" s="28">
        <f>428+19</f>
        <v>447</v>
      </c>
      <c r="D10" s="28">
        <v>432</v>
      </c>
      <c r="E10" s="28">
        <v>794</v>
      </c>
      <c r="F10" s="28">
        <v>1160</v>
      </c>
      <c r="G10" s="29">
        <v>3272</v>
      </c>
      <c r="H10">
        <v>0</v>
      </c>
      <c r="I10">
        <v>0</v>
      </c>
      <c r="J10">
        <v>0</v>
      </c>
    </row>
    <row r="11" spans="2:10">
      <c r="B11" s="16" t="s">
        <v>143</v>
      </c>
      <c r="C11" s="28">
        <f>1125+67-221</f>
        <v>971</v>
      </c>
      <c r="D11" s="28">
        <v>8093</v>
      </c>
      <c r="E11" s="28">
        <v>14558</v>
      </c>
      <c r="F11" s="28">
        <v>14658</v>
      </c>
      <c r="G11" s="29">
        <v>13078</v>
      </c>
      <c r="H11" s="41">
        <f>G11</f>
        <v>13078</v>
      </c>
      <c r="I11" s="41">
        <f t="shared" ref="I11:J11" si="0">H11</f>
        <v>13078</v>
      </c>
      <c r="J11" s="41">
        <f t="shared" si="0"/>
        <v>13078</v>
      </c>
    </row>
    <row r="12" spans="2:10">
      <c r="B12" s="16" t="s">
        <v>144</v>
      </c>
      <c r="C12" s="28">
        <f>-50-899</f>
        <v>-949</v>
      </c>
      <c r="D12" s="28">
        <f>-3-215</f>
        <v>-218</v>
      </c>
      <c r="E12" s="28">
        <f>15-609</f>
        <v>-594</v>
      </c>
      <c r="F12" s="28">
        <f>+-781</f>
        <v>-781</v>
      </c>
      <c r="G12" s="29">
        <v>-1360</v>
      </c>
      <c r="H12">
        <v>0</v>
      </c>
      <c r="I12">
        <v>0</v>
      </c>
      <c r="J12">
        <v>0</v>
      </c>
    </row>
    <row r="13" spans="2:10">
      <c r="B13" s="16" t="s">
        <v>145</v>
      </c>
      <c r="C13" s="103">
        <f>C14-SUM(C5:C12)</f>
        <v>703</v>
      </c>
      <c r="D13" s="103">
        <f t="shared" ref="D13:J13" si="1">D14-SUM(D5:D12)</f>
        <v>529</v>
      </c>
      <c r="E13" s="103">
        <f t="shared" si="1"/>
        <v>169</v>
      </c>
      <c r="F13" s="103">
        <f t="shared" si="1"/>
        <v>3662</v>
      </c>
      <c r="G13" s="103">
        <f t="shared" si="1"/>
        <v>-10366</v>
      </c>
      <c r="H13" s="103">
        <v>0</v>
      </c>
      <c r="I13" s="103">
        <v>0</v>
      </c>
      <c r="J13" s="103">
        <v>0</v>
      </c>
    </row>
    <row r="14" spans="2:10">
      <c r="B14" s="16" t="s">
        <v>146</v>
      </c>
      <c r="C14" s="28">
        <v>-15794</v>
      </c>
      <c r="D14" s="28">
        <v>-14365</v>
      </c>
      <c r="E14" s="28">
        <v>-571</v>
      </c>
      <c r="F14" s="28">
        <v>7742</v>
      </c>
      <c r="G14" s="29">
        <v>-64</v>
      </c>
      <c r="H14" s="13">
        <f>SUM(H5:H13)</f>
        <v>24462.320537383479</v>
      </c>
      <c r="I14" s="13">
        <f t="shared" ref="I14:J14" si="2">SUM(I5:I13)</f>
        <v>30581.568886240038</v>
      </c>
      <c r="J14" s="13">
        <f t="shared" si="2"/>
        <v>37456.166146899086</v>
      </c>
    </row>
    <row r="15" spans="2:10">
      <c r="B15" s="15" t="s">
        <v>147</v>
      </c>
      <c r="C15" s="103">
        <f t="shared" ref="C15:J15" si="3">SUM(C16:C23)</f>
        <v>-6902</v>
      </c>
      <c r="D15" s="103">
        <f t="shared" si="3"/>
        <v>3481</v>
      </c>
      <c r="E15" s="103">
        <f t="shared" si="3"/>
        <v>6489</v>
      </c>
      <c r="F15" s="103">
        <f t="shared" si="3"/>
        <v>-149</v>
      </c>
      <c r="G15" s="44">
        <f t="shared" si="3"/>
        <v>-1329</v>
      </c>
      <c r="H15" s="44">
        <f t="shared" si="3"/>
        <v>-8749.4282070604604</v>
      </c>
      <c r="I15" s="44">
        <f t="shared" si="3"/>
        <v>6896.6647585647206</v>
      </c>
      <c r="J15" s="44">
        <f t="shared" si="3"/>
        <v>7474.7855051881052</v>
      </c>
    </row>
    <row r="16" spans="2:10">
      <c r="B16" s="101" t="s">
        <v>148</v>
      </c>
      <c r="C16" s="28">
        <v>-33</v>
      </c>
      <c r="D16" s="28">
        <v>1481</v>
      </c>
      <c r="E16" s="28">
        <v>1090</v>
      </c>
      <c r="F16" s="28">
        <v>-1837</v>
      </c>
      <c r="G16" s="31">
        <v>992</v>
      </c>
      <c r="H16" s="39">
        <f>BS!H30-BS!G30</f>
        <v>-1047.4164396266888</v>
      </c>
      <c r="I16" s="39">
        <f>BS!I30-BS!H30</f>
        <v>2814.8616457016988</v>
      </c>
      <c r="J16" s="39">
        <f>BS!J30-BS!I30</f>
        <v>1806.1574691322239</v>
      </c>
    </row>
    <row r="17" spans="2:10">
      <c r="B17" s="101" t="s">
        <v>96</v>
      </c>
      <c r="C17" s="28">
        <v>-85</v>
      </c>
      <c r="D17" s="28">
        <v>434</v>
      </c>
      <c r="E17" s="28">
        <v>981</v>
      </c>
      <c r="F17" s="28">
        <v>1547</v>
      </c>
      <c r="G17" s="29">
        <v>-382</v>
      </c>
      <c r="H17" s="41">
        <f>BS!H40-BS!G40</f>
        <v>0</v>
      </c>
      <c r="I17" s="41">
        <f>BS!I40-BS!H40</f>
        <v>0</v>
      </c>
      <c r="J17" s="41">
        <f>BS!J40-BS!I40</f>
        <v>0</v>
      </c>
    </row>
    <row r="18" spans="2:10">
      <c r="B18" s="101" t="s">
        <v>149</v>
      </c>
      <c r="C18" s="28">
        <v>-273</v>
      </c>
      <c r="D18" s="28">
        <v>1412</v>
      </c>
      <c r="E18" s="28">
        <v>-626</v>
      </c>
      <c r="F18" s="28">
        <v>-2529</v>
      </c>
      <c r="G18" s="31">
        <v>-2128</v>
      </c>
      <c r="H18" s="41">
        <f>BS!H32-BS!G32+BS!H34-BS!G34+BS!H35-BS!G35</f>
        <v>0</v>
      </c>
      <c r="I18" s="41">
        <f>BS!I32-BS!H32+BS!I34-BS!H34+BS!I35-BS!H35</f>
        <v>0</v>
      </c>
      <c r="J18" s="41">
        <f>BS!J32-BS!I32+BS!J34-BS!I34+BS!J35-BS!I35</f>
        <v>0</v>
      </c>
    </row>
    <row r="19" spans="2:10">
      <c r="B19" s="102" t="s">
        <v>93</v>
      </c>
      <c r="C19" s="28">
        <v>2669</v>
      </c>
      <c r="D19" s="28">
        <v>13338</v>
      </c>
      <c r="E19" s="28">
        <v>9415</v>
      </c>
      <c r="F19" s="28">
        <v>-7888</v>
      </c>
      <c r="G19" s="29">
        <f>9781-9133</f>
        <v>648</v>
      </c>
      <c r="H19" s="41">
        <f>BS!H33-BS!G33</f>
        <v>0</v>
      </c>
      <c r="I19" s="41">
        <f>BS!I33-BS!H33</f>
        <v>0</v>
      </c>
      <c r="J19" s="41">
        <f>BS!J33-BS!I33</f>
        <v>0</v>
      </c>
    </row>
    <row r="20" spans="2:10">
      <c r="B20" s="101" t="s">
        <v>71</v>
      </c>
      <c r="C20" s="28">
        <v>-67</v>
      </c>
      <c r="D20" s="28">
        <v>-3192</v>
      </c>
      <c r="E20" s="28">
        <v>-5539</v>
      </c>
      <c r="F20" s="28">
        <v>-5058</v>
      </c>
      <c r="G20" s="31">
        <v>-262</v>
      </c>
      <c r="H20" s="13">
        <f>BS!H6-BS!G6</f>
        <v>-7702.0117674337716</v>
      </c>
      <c r="I20" s="13">
        <f>BS!I6-BS!H6</f>
        <v>4081.8031128630219</v>
      </c>
      <c r="J20" s="13">
        <f>BS!J6-BS!I6</f>
        <v>5668.6280360558812</v>
      </c>
    </row>
    <row r="21" spans="2:10">
      <c r="B21" s="101" t="s">
        <v>74</v>
      </c>
      <c r="C21" s="28">
        <v>-6384</v>
      </c>
      <c r="D21" s="28">
        <v>-9187</v>
      </c>
      <c r="E21" s="28">
        <v>-1267</v>
      </c>
      <c r="F21" s="28">
        <v>12355</v>
      </c>
      <c r="G21" s="29">
        <v>-395</v>
      </c>
      <c r="H21" s="41">
        <f>BS!H9-BS!G9</f>
        <v>0</v>
      </c>
      <c r="I21" s="41">
        <f>BS!I9-BS!H9</f>
        <v>0</v>
      </c>
      <c r="J21" s="41">
        <f>BS!J9-BS!I9</f>
        <v>0</v>
      </c>
    </row>
    <row r="22" spans="2:10">
      <c r="B22" s="101" t="s">
        <v>150</v>
      </c>
      <c r="C22" s="28">
        <v>-2729</v>
      </c>
      <c r="D22" s="28">
        <v>-805</v>
      </c>
      <c r="E22" s="28">
        <v>2435</v>
      </c>
      <c r="F22" s="28">
        <v>3261</v>
      </c>
      <c r="G22" s="29">
        <v>1125</v>
      </c>
      <c r="H22" s="41">
        <f>BS!H5-BS!G5+BS!H7-BS!G7+BS!H10-BS!G10</f>
        <v>0</v>
      </c>
      <c r="I22" s="41">
        <f>BS!I5-BS!H5+BS!I7-BS!H7+BS!I10-BS!H10</f>
        <v>0</v>
      </c>
      <c r="J22" s="41">
        <f>BS!J5-BS!I5+BS!J7-BS!I7+BS!J10-BS!I10</f>
        <v>0</v>
      </c>
    </row>
    <row r="23" spans="2:10">
      <c r="B23" s="101" t="s">
        <v>73</v>
      </c>
      <c r="C23" s="28">
        <v>0</v>
      </c>
      <c r="D23" s="28">
        <v>0</v>
      </c>
      <c r="E23" s="28">
        <v>0</v>
      </c>
      <c r="F23" s="28">
        <v>0</v>
      </c>
      <c r="G23" s="29">
        <v>-927</v>
      </c>
      <c r="H23" s="41">
        <f>BS!H26-BS!G26</f>
        <v>0</v>
      </c>
      <c r="I23" s="41">
        <f>BS!I26-BS!H26</f>
        <v>0</v>
      </c>
      <c r="J23" s="41">
        <f>BS!J26-BS!I26</f>
        <v>0</v>
      </c>
    </row>
    <row r="24" spans="2:10">
      <c r="B24" s="14" t="s">
        <v>151</v>
      </c>
      <c r="C24" s="28">
        <v>1871</v>
      </c>
      <c r="D24" s="28">
        <v>-1479</v>
      </c>
      <c r="E24" s="28">
        <v>-1762</v>
      </c>
      <c r="F24" s="28">
        <v>-1085</v>
      </c>
      <c r="G24" s="29">
        <v>180</v>
      </c>
      <c r="H24" s="13">
        <f>-IS!AO22</f>
        <v>1343.2665308437179</v>
      </c>
      <c r="I24" s="13">
        <f>-IS!AP22</f>
        <v>3971.6186608231619</v>
      </c>
      <c r="J24" s="13">
        <f>-IS!AQ22</f>
        <v>5587.9195581499398</v>
      </c>
    </row>
    <row r="25" spans="2:10">
      <c r="B25" s="15" t="s">
        <v>152</v>
      </c>
      <c r="C25" s="104">
        <f>C14+C15+C24</f>
        <v>-20825</v>
      </c>
      <c r="D25" s="104">
        <f>D14+D15+D24</f>
        <v>-12363</v>
      </c>
      <c r="E25" s="104">
        <f>E14+E15+E24</f>
        <v>4156</v>
      </c>
      <c r="F25" s="104">
        <f t="shared" ref="F25:J25" si="4">F14+F15+F24</f>
        <v>6508</v>
      </c>
      <c r="G25" s="105">
        <f t="shared" si="4"/>
        <v>-1213</v>
      </c>
      <c r="H25" s="105">
        <f t="shared" si="4"/>
        <v>17056.158861166736</v>
      </c>
      <c r="I25" s="105">
        <f t="shared" si="4"/>
        <v>41449.852305627923</v>
      </c>
      <c r="J25" s="105">
        <f t="shared" si="4"/>
        <v>50518.871210237128</v>
      </c>
    </row>
    <row r="26" spans="2:10">
      <c r="B26" s="16"/>
      <c r="C26" s="109"/>
      <c r="D26" s="109"/>
      <c r="E26" s="109"/>
      <c r="F26" s="109"/>
      <c r="G26" s="110"/>
    </row>
    <row r="27" spans="2:10">
      <c r="B27" s="14" t="s">
        <v>153</v>
      </c>
      <c r="C27" s="28">
        <v>-1927</v>
      </c>
      <c r="D27" s="28">
        <v>-5071</v>
      </c>
      <c r="E27" s="28">
        <v>-7052</v>
      </c>
      <c r="F27" s="28">
        <v>-8217</v>
      </c>
      <c r="G27" s="30">
        <v>-3219</v>
      </c>
      <c r="H27" s="13">
        <f>-BS!H66</f>
        <v>-5087.4251338227896</v>
      </c>
      <c r="I27" s="13">
        <f>-BS!I66</f>
        <v>-6706.4554845246612</v>
      </c>
      <c r="J27" s="13">
        <f>-BS!J66</f>
        <v>-9137.2889669391188</v>
      </c>
    </row>
    <row r="28" spans="2:10">
      <c r="B28" s="14" t="s">
        <v>154</v>
      </c>
      <c r="C28" s="28">
        <v>0</v>
      </c>
      <c r="D28" s="28">
        <v>0</v>
      </c>
      <c r="E28" s="28">
        <v>0</v>
      </c>
      <c r="F28" s="28">
        <v>0</v>
      </c>
      <c r="G28" s="35">
        <v>0</v>
      </c>
      <c r="H28" s="114">
        <v>0</v>
      </c>
      <c r="I28" s="114">
        <v>0</v>
      </c>
      <c r="J28" s="114">
        <v>0</v>
      </c>
    </row>
    <row r="29" spans="2:10">
      <c r="B29" s="14" t="s">
        <v>155</v>
      </c>
      <c r="C29" s="28"/>
      <c r="D29" s="28"/>
      <c r="E29" s="28"/>
      <c r="F29" s="28"/>
      <c r="G29" s="29"/>
      <c r="H29" s="114">
        <v>0</v>
      </c>
      <c r="I29" s="114">
        <v>0</v>
      </c>
      <c r="J29" s="114">
        <v>0</v>
      </c>
    </row>
    <row r="30" spans="2:10">
      <c r="B30" s="14" t="s">
        <v>156</v>
      </c>
      <c r="C30" s="28">
        <f>-21534+10419+5-1608-87+1036+99456-67468</f>
        <v>20219</v>
      </c>
      <c r="D30" s="28">
        <f>-96322+43206+908-1653+13-261+85696-84204</f>
        <v>-52617</v>
      </c>
      <c r="E30" s="28">
        <f>-57876+99248+483-10-1226+351192-361669</f>
        <v>30142</v>
      </c>
      <c r="F30" s="28">
        <f>+-35101+60435+10+0-8199+233544-244992</f>
        <v>5697</v>
      </c>
      <c r="G30" s="29">
        <f>+-71846+13882+20036+26689-23767+562305-548880</f>
        <v>-21581</v>
      </c>
      <c r="H30" s="114">
        <v>0</v>
      </c>
      <c r="I30" s="114">
        <v>0</v>
      </c>
      <c r="J30" s="114">
        <v>0</v>
      </c>
    </row>
    <row r="31" spans="2:10">
      <c r="B31" s="14" t="s">
        <v>157</v>
      </c>
      <c r="C31" s="28">
        <v>950</v>
      </c>
      <c r="D31" s="28">
        <v>2775</v>
      </c>
      <c r="E31" s="28">
        <v>3080</v>
      </c>
      <c r="F31" s="28">
        <v>4727</v>
      </c>
      <c r="G31" s="29">
        <v>4318</v>
      </c>
      <c r="H31" s="44">
        <v>4318</v>
      </c>
      <c r="I31" s="44">
        <v>4318</v>
      </c>
      <c r="J31" s="44">
        <v>4318</v>
      </c>
    </row>
    <row r="32" spans="2:10">
      <c r="B32" s="14" t="s">
        <v>158</v>
      </c>
      <c r="C32" s="112">
        <f t="shared" ref="C32:G32" si="5">C33-SUM(C27:C31)</f>
        <v>56</v>
      </c>
      <c r="D32" s="112">
        <f t="shared" si="5"/>
        <v>27</v>
      </c>
      <c r="E32" s="112">
        <f t="shared" si="5"/>
        <v>85</v>
      </c>
      <c r="F32" s="112">
        <f t="shared" si="5"/>
        <v>973</v>
      </c>
      <c r="G32" s="113">
        <f t="shared" ref="G32" si="6">G33-SUM(G27:G31)</f>
        <v>53</v>
      </c>
      <c r="H32" s="114">
        <v>0</v>
      </c>
      <c r="I32" s="114">
        <v>0</v>
      </c>
      <c r="J32" s="114">
        <v>0</v>
      </c>
    </row>
    <row r="33" spans="2:10">
      <c r="B33" s="15" t="s">
        <v>159</v>
      </c>
      <c r="C33" s="108">
        <v>19298</v>
      </c>
      <c r="D33" s="108">
        <v>-54886</v>
      </c>
      <c r="E33" s="108">
        <v>26255</v>
      </c>
      <c r="F33" s="108">
        <v>3180</v>
      </c>
      <c r="G33" s="111">
        <v>-20429</v>
      </c>
      <c r="H33">
        <f>SUM(H27:H32)</f>
        <v>-769.42513382278958</v>
      </c>
      <c r="I33">
        <f t="shared" ref="I33:J33" si="7">SUM(I27:I32)</f>
        <v>-2388.4554845246612</v>
      </c>
      <c r="J33">
        <f t="shared" si="7"/>
        <v>-4819.2889669391188</v>
      </c>
    </row>
    <row r="34" spans="2:10">
      <c r="B34" s="16"/>
      <c r="C34" s="109"/>
      <c r="D34" s="109"/>
      <c r="E34" s="109"/>
      <c r="F34" s="109"/>
      <c r="G34" s="110"/>
    </row>
    <row r="35" spans="2:10">
      <c r="B35" s="16" t="s">
        <v>160</v>
      </c>
      <c r="C35" s="28">
        <v>107</v>
      </c>
      <c r="D35" s="28">
        <v>83067</v>
      </c>
      <c r="E35" s="28">
        <v>7</v>
      </c>
      <c r="F35" s="28">
        <v>13</v>
      </c>
      <c r="G35" s="29">
        <v>13</v>
      </c>
      <c r="H35" s="114">
        <v>0</v>
      </c>
      <c r="I35" s="114">
        <v>0</v>
      </c>
      <c r="J35" s="114">
        <v>0</v>
      </c>
    </row>
    <row r="36" spans="2:10">
      <c r="B36" s="16" t="s">
        <v>161</v>
      </c>
      <c r="C36" s="28">
        <v>0</v>
      </c>
      <c r="D36" s="28">
        <v>-1401</v>
      </c>
      <c r="E36" s="28">
        <v>0</v>
      </c>
      <c r="F36" s="28">
        <v>0</v>
      </c>
      <c r="G36" s="110">
        <v>0</v>
      </c>
      <c r="H36" s="114">
        <v>0</v>
      </c>
      <c r="I36" s="114">
        <v>0</v>
      </c>
      <c r="J36" s="114">
        <v>0</v>
      </c>
    </row>
    <row r="37" spans="2:10">
      <c r="B37" s="16" t="s">
        <v>162</v>
      </c>
      <c r="C37" s="28">
        <v>2</v>
      </c>
      <c r="D37" s="28">
        <v>0</v>
      </c>
      <c r="E37" s="28"/>
      <c r="F37" s="28"/>
      <c r="G37" s="110"/>
      <c r="H37" s="114">
        <v>0</v>
      </c>
      <c r="I37" s="114">
        <v>0</v>
      </c>
      <c r="J37" s="114">
        <v>0</v>
      </c>
    </row>
    <row r="38" spans="2:10">
      <c r="B38" s="16" t="s">
        <v>163</v>
      </c>
      <c r="C38" s="28">
        <v>-63</v>
      </c>
      <c r="D38" s="28">
        <v>0</v>
      </c>
      <c r="E38" s="28">
        <v>0</v>
      </c>
      <c r="F38" s="28">
        <v>0</v>
      </c>
      <c r="G38" s="29">
        <v>0</v>
      </c>
      <c r="H38" s="114">
        <v>0</v>
      </c>
      <c r="I38" s="114">
        <v>0</v>
      </c>
      <c r="J38" s="114">
        <v>0</v>
      </c>
    </row>
    <row r="39" spans="2:10">
      <c r="B39" s="16" t="s">
        <v>164</v>
      </c>
      <c r="C39" s="28">
        <v>0</v>
      </c>
      <c r="D39" s="28">
        <v>0</v>
      </c>
      <c r="E39" s="28">
        <v>0</v>
      </c>
      <c r="F39" s="28">
        <v>0</v>
      </c>
      <c r="G39" s="29">
        <v>0</v>
      </c>
      <c r="H39" s="114">
        <v>0</v>
      </c>
      <c r="I39" s="114">
        <v>0</v>
      </c>
      <c r="J39" s="114">
        <v>0</v>
      </c>
    </row>
    <row r="40" spans="2:10">
      <c r="B40" s="16" t="s">
        <v>165</v>
      </c>
      <c r="C40" s="28">
        <v>-729</v>
      </c>
      <c r="D40" s="28">
        <v>0</v>
      </c>
      <c r="E40" s="28">
        <v>0</v>
      </c>
      <c r="F40" s="28">
        <v>0</v>
      </c>
      <c r="G40" s="29">
        <v>0</v>
      </c>
      <c r="H40" s="114">
        <v>0</v>
      </c>
      <c r="I40" s="114">
        <v>0</v>
      </c>
      <c r="J40" s="114">
        <v>0</v>
      </c>
    </row>
    <row r="41" spans="2:10">
      <c r="B41" s="16" t="s">
        <v>166</v>
      </c>
      <c r="C41" s="28">
        <v>-6</v>
      </c>
      <c r="D41" s="28">
        <v>0</v>
      </c>
      <c r="E41" s="28">
        <v>0</v>
      </c>
      <c r="F41" s="28">
        <v>0</v>
      </c>
      <c r="G41" s="29">
        <v>0</v>
      </c>
      <c r="H41" s="114">
        <v>0</v>
      </c>
      <c r="I41" s="114">
        <v>0</v>
      </c>
      <c r="J41" s="114">
        <v>0</v>
      </c>
    </row>
    <row r="42" spans="2:10">
      <c r="B42" s="16" t="s">
        <v>167</v>
      </c>
      <c r="C42" s="28">
        <v>-847</v>
      </c>
      <c r="D42" s="28">
        <v>-435</v>
      </c>
      <c r="E42" s="28">
        <v>0</v>
      </c>
      <c r="F42" s="28">
        <v>0</v>
      </c>
      <c r="G42" s="29">
        <v>0</v>
      </c>
      <c r="H42" s="114">
        <v>0</v>
      </c>
      <c r="I42" s="114">
        <v>0</v>
      </c>
      <c r="J42" s="114">
        <v>0</v>
      </c>
    </row>
    <row r="43" spans="2:10">
      <c r="B43" s="16" t="s">
        <v>168</v>
      </c>
      <c r="C43" s="28">
        <v>-339</v>
      </c>
      <c r="D43" s="28">
        <v>-380</v>
      </c>
      <c r="E43" s="28">
        <v>-199</v>
      </c>
      <c r="F43" s="28">
        <v>-179</v>
      </c>
      <c r="G43" s="110">
        <v>-146</v>
      </c>
      <c r="H43">
        <f>G43</f>
        <v>-146</v>
      </c>
      <c r="I43">
        <f t="shared" ref="I43:J44" si="8">H43</f>
        <v>-146</v>
      </c>
      <c r="J43">
        <f t="shared" si="8"/>
        <v>-146</v>
      </c>
    </row>
    <row r="44" spans="2:10">
      <c r="B44" s="16" t="s">
        <v>169</v>
      </c>
      <c r="C44" s="28">
        <v>0</v>
      </c>
      <c r="D44" s="28">
        <v>0</v>
      </c>
      <c r="E44" s="28">
        <v>0</v>
      </c>
      <c r="F44" s="28">
        <v>0</v>
      </c>
      <c r="G44" s="35">
        <v>0</v>
      </c>
      <c r="H44">
        <f>G44</f>
        <v>0</v>
      </c>
      <c r="I44">
        <f t="shared" si="8"/>
        <v>0</v>
      </c>
      <c r="J44">
        <f t="shared" si="8"/>
        <v>0</v>
      </c>
    </row>
    <row r="45" spans="2:10">
      <c r="B45" s="16" t="s">
        <v>170</v>
      </c>
      <c r="C45" s="28">
        <v>-346</v>
      </c>
      <c r="D45" s="28">
        <v>-316</v>
      </c>
      <c r="E45" s="28">
        <v>-440</v>
      </c>
      <c r="F45" s="28">
        <v>-341</v>
      </c>
      <c r="G45" s="29">
        <v>-318</v>
      </c>
      <c r="H45" s="41">
        <f>G45</f>
        <v>-318</v>
      </c>
      <c r="I45" s="41">
        <f t="shared" ref="I45:J46" si="9">H45</f>
        <v>-318</v>
      </c>
      <c r="J45" s="41">
        <f t="shared" si="9"/>
        <v>-318</v>
      </c>
    </row>
    <row r="46" spans="2:10">
      <c r="B46" s="16" t="s">
        <v>171</v>
      </c>
      <c r="C46" s="28"/>
      <c r="D46" s="28"/>
      <c r="E46" s="28">
        <f>-8584-1977+1+69</f>
        <v>-10491</v>
      </c>
      <c r="F46" s="28">
        <f>3+283</f>
        <v>286</v>
      </c>
      <c r="G46" s="29">
        <f>-79+3</f>
        <v>-76</v>
      </c>
      <c r="H46">
        <v>0</v>
      </c>
      <c r="I46">
        <v>0</v>
      </c>
      <c r="J46">
        <v>0</v>
      </c>
    </row>
    <row r="47" spans="2:10">
      <c r="B47" s="15" t="s">
        <v>172</v>
      </c>
      <c r="C47" s="104">
        <f>SUM(C35:C45)</f>
        <v>-2221</v>
      </c>
      <c r="D47" s="104">
        <f>SUM(D35:D46)</f>
        <v>80535</v>
      </c>
      <c r="E47" s="104">
        <f t="shared" ref="E47:J47" si="10">SUM(E35:E46)</f>
        <v>-11123</v>
      </c>
      <c r="F47" s="104">
        <f t="shared" si="10"/>
        <v>-221</v>
      </c>
      <c r="G47" s="105">
        <f t="shared" si="10"/>
        <v>-527</v>
      </c>
      <c r="H47" s="105">
        <f t="shared" si="10"/>
        <v>-464</v>
      </c>
      <c r="I47" s="105">
        <f t="shared" si="10"/>
        <v>-464</v>
      </c>
      <c r="J47" s="105">
        <f t="shared" si="10"/>
        <v>-464</v>
      </c>
    </row>
    <row r="49" spans="2:10">
      <c r="B49" s="100" t="s">
        <v>173</v>
      </c>
      <c r="D49" s="41">
        <f>D47+D33+D25</f>
        <v>13286</v>
      </c>
      <c r="E49" s="41">
        <f t="shared" ref="E49:J49" si="11">E47+E33+E25</f>
        <v>19288</v>
      </c>
      <c r="F49" s="41">
        <f t="shared" si="11"/>
        <v>9467</v>
      </c>
      <c r="G49" s="41">
        <f t="shared" si="11"/>
        <v>-22169</v>
      </c>
      <c r="H49" s="41">
        <f t="shared" si="11"/>
        <v>15822.733727343946</v>
      </c>
      <c r="I49" s="41">
        <f t="shared" si="11"/>
        <v>38597.396821103262</v>
      </c>
      <c r="J49" s="41">
        <f t="shared" si="11"/>
        <v>45235.582243298006</v>
      </c>
    </row>
    <row r="50" spans="2:10">
      <c r="B50" s="100" t="s">
        <v>174</v>
      </c>
      <c r="D50" s="45">
        <f>C51</f>
        <v>5468</v>
      </c>
      <c r="E50" s="45">
        <f t="shared" ref="E50:J50" si="12">D51</f>
        <v>13790</v>
      </c>
      <c r="F50" s="45">
        <f t="shared" si="12"/>
        <v>33120</v>
      </c>
      <c r="G50" s="45">
        <f t="shared" si="12"/>
        <v>42772</v>
      </c>
      <c r="H50" s="45">
        <f t="shared" si="12"/>
        <v>20769</v>
      </c>
      <c r="I50" s="45">
        <f t="shared" si="12"/>
        <v>36591.733727343948</v>
      </c>
      <c r="J50" s="45">
        <f t="shared" si="12"/>
        <v>75189.13054844721</v>
      </c>
    </row>
    <row r="51" spans="2:10">
      <c r="B51" s="115" t="s">
        <v>175</v>
      </c>
      <c r="C51" s="116">
        <v>5468</v>
      </c>
      <c r="D51" s="116">
        <v>13790</v>
      </c>
      <c r="E51" s="116">
        <v>33120</v>
      </c>
      <c r="F51" s="116">
        <v>42772</v>
      </c>
      <c r="G51" s="117">
        <v>20769</v>
      </c>
      <c r="H51" s="11">
        <f>H50+H49</f>
        <v>36591.733727343948</v>
      </c>
      <c r="I51" s="11">
        <f t="shared" ref="I51:J51" si="13">I50+I49</f>
        <v>75189.13054844721</v>
      </c>
      <c r="J51" s="11">
        <f t="shared" si="13"/>
        <v>120424.71279174522</v>
      </c>
    </row>
  </sheetData>
  <dataValidations count="1">
    <dataValidation allowBlank="1" sqref="B15:B25 B27:B33 B47:J47" xr:uid="{57D1DE40-35C2-47B5-8BD5-9C3B6248D902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BEAD-196F-4DB1-B33A-CB7B93F4378D}">
  <dimension ref="C3:K34"/>
  <sheetViews>
    <sheetView tabSelected="1" workbookViewId="0">
      <selection activeCell="H14" sqref="H14"/>
    </sheetView>
  </sheetViews>
  <sheetFormatPr defaultRowHeight="15"/>
  <cols>
    <col min="3" max="3" width="25.9609375" bestFit="1" customWidth="1"/>
  </cols>
  <sheetData>
    <row r="3" spans="3:11">
      <c r="C3" s="46" t="s">
        <v>196</v>
      </c>
      <c r="D3" s="2" t="s">
        <v>32</v>
      </c>
      <c r="E3" s="2" t="s">
        <v>33</v>
      </c>
      <c r="F3" s="2" t="s">
        <v>34</v>
      </c>
      <c r="G3" s="2" t="s">
        <v>35</v>
      </c>
      <c r="H3" s="3" t="s">
        <v>36</v>
      </c>
      <c r="I3" s="2" t="s">
        <v>37</v>
      </c>
      <c r="J3" s="2" t="s">
        <v>38</v>
      </c>
      <c r="K3" s="2" t="s">
        <v>39</v>
      </c>
    </row>
    <row r="4" spans="3:11">
      <c r="C4" s="182" t="s">
        <v>53</v>
      </c>
      <c r="D4" s="13">
        <f>IS!AJ17</f>
        <v>-19458</v>
      </c>
      <c r="E4" s="13">
        <f>IS!AK17</f>
        <v>-25875</v>
      </c>
      <c r="F4" s="13">
        <f>IS!AL17</f>
        <v>-21168</v>
      </c>
      <c r="G4" s="13">
        <f>IS!AM17</f>
        <v>-16425</v>
      </c>
      <c r="H4" s="13">
        <f>IS!AN17</f>
        <v>-21791</v>
      </c>
      <c r="I4" s="13">
        <f>IS!AO17</f>
        <v>1877.0661233748715</v>
      </c>
      <c r="J4" s="13">
        <f>IS!AP17</f>
        <v>7606.4746432926486</v>
      </c>
      <c r="K4" s="13">
        <f>IS!AQ17</f>
        <v>14071.678232599759</v>
      </c>
    </row>
    <row r="5" spans="3:11">
      <c r="C5" s="183" t="s">
        <v>182</v>
      </c>
      <c r="D5">
        <f>D4*(1-IS!AJ23)</f>
        <v>-19426.544725182612</v>
      </c>
      <c r="E5">
        <f>E4*(1-IS!AK23)</f>
        <v>-25752.287321106309</v>
      </c>
      <c r="F5">
        <f>F4*(1-IS!AL23)</f>
        <v>-20759.918756096162</v>
      </c>
      <c r="G5">
        <f>G4*(1-IS!AM23)</f>
        <v>-15972.415133454262</v>
      </c>
      <c r="H5">
        <f>H4*(1-IS!AN23)</f>
        <v>-21523.898876404495</v>
      </c>
      <c r="I5">
        <f>I4*(1-IS!AO23)</f>
        <v>2115.9466827421147</v>
      </c>
      <c r="J5">
        <f>J4*(1-IS!AP23)</f>
        <v>9508.0933041158114</v>
      </c>
      <c r="K5">
        <f>K4*(1-IS!AQ23)</f>
        <v>17589.5977907497</v>
      </c>
    </row>
    <row r="6" spans="3:11">
      <c r="C6" s="183" t="s">
        <v>176</v>
      </c>
      <c r="D6" s="13">
        <f>IS!AJ16</f>
        <v>1785</v>
      </c>
      <c r="E6" s="13">
        <f>IS!AK16</f>
        <v>2473</v>
      </c>
      <c r="F6" s="13">
        <f>IS!AL16</f>
        <v>4853</v>
      </c>
      <c r="G6" s="13">
        <f>IS!AM16</f>
        <v>7357</v>
      </c>
      <c r="H6" s="13">
        <f>IS!AN16</f>
        <v>6726</v>
      </c>
      <c r="I6" s="13">
        <f>IS!AO16</f>
        <v>4239.5209448523246</v>
      </c>
      <c r="J6" s="13">
        <f>IS!AP16</f>
        <v>5588.7129037705517</v>
      </c>
      <c r="K6" s="13">
        <f>IS!AQ16</f>
        <v>7614.4074724492666</v>
      </c>
    </row>
    <row r="7" spans="3:11">
      <c r="C7" s="183" t="s">
        <v>177</v>
      </c>
      <c r="D7" s="41">
        <f>CF!C15</f>
        <v>-6902</v>
      </c>
      <c r="E7" s="41">
        <f>CF!D15</f>
        <v>3481</v>
      </c>
      <c r="F7" s="41">
        <f>CF!E15</f>
        <v>6489</v>
      </c>
      <c r="G7" s="41">
        <f>CF!F15</f>
        <v>-149</v>
      </c>
      <c r="H7" s="41">
        <f>CF!G15</f>
        <v>-1329</v>
      </c>
      <c r="I7" s="41">
        <f>CF!H15</f>
        <v>-8749.4282070604604</v>
      </c>
      <c r="J7" s="41">
        <f>CF!I15</f>
        <v>6896.6647585647206</v>
      </c>
      <c r="K7" s="41">
        <f>CF!J15</f>
        <v>7474.7855051881052</v>
      </c>
    </row>
    <row r="8" spans="3:11">
      <c r="C8" s="183" t="s">
        <v>178</v>
      </c>
      <c r="D8" s="41">
        <f>CF!C27</f>
        <v>-1927</v>
      </c>
      <c r="E8" s="41">
        <f>CF!D27</f>
        <v>-5071</v>
      </c>
      <c r="F8" s="41">
        <f>CF!E27</f>
        <v>-7052</v>
      </c>
      <c r="G8" s="41">
        <f>CF!F27</f>
        <v>-8217</v>
      </c>
      <c r="H8" s="41">
        <f>CF!G27</f>
        <v>-3219</v>
      </c>
      <c r="I8" s="41">
        <f>CF!H27</f>
        <v>-5087.4251338227896</v>
      </c>
      <c r="J8" s="41">
        <f>CF!I27</f>
        <v>-6706.4554845246612</v>
      </c>
      <c r="K8" s="41">
        <f>CF!J27</f>
        <v>-9137.2889669391188</v>
      </c>
    </row>
    <row r="9" spans="3:11">
      <c r="C9" s="187" t="s">
        <v>179</v>
      </c>
      <c r="D9" s="10">
        <f>SUM(D5:D8)</f>
        <v>-26470.544725182612</v>
      </c>
      <c r="E9" s="10">
        <f t="shared" ref="E9:K9" si="0">SUM(E5:E8)</f>
        <v>-24869.287321106309</v>
      </c>
      <c r="F9" s="10">
        <f t="shared" si="0"/>
        <v>-16469.918756096162</v>
      </c>
      <c r="G9" s="10">
        <f t="shared" si="0"/>
        <v>-16981.415133454262</v>
      </c>
      <c r="H9" s="10">
        <f t="shared" si="0"/>
        <v>-19345.898876404495</v>
      </c>
      <c r="I9" s="10">
        <f t="shared" si="0"/>
        <v>-7481.3857132888106</v>
      </c>
      <c r="J9" s="10">
        <f t="shared" si="0"/>
        <v>15287.015481926421</v>
      </c>
      <c r="K9" s="10">
        <f t="shared" si="0"/>
        <v>23541.501801447954</v>
      </c>
    </row>
    <row r="10" spans="3:11">
      <c r="C10" s="184" t="s">
        <v>180</v>
      </c>
    </row>
    <row r="11" spans="3:11">
      <c r="C11" s="185" t="s">
        <v>192</v>
      </c>
      <c r="D11" s="42"/>
      <c r="E11" s="42"/>
      <c r="F11" s="42"/>
      <c r="G11" s="42"/>
      <c r="H11" s="42"/>
      <c r="I11" s="42">
        <f t="shared" ref="E11:K11" si="1">(1/((1+$F$33)^1))</f>
        <v>0.89485458612975399</v>
      </c>
      <c r="J11" s="42">
        <f>(1/((1+$F$33)^2))</f>
        <v>0.80076473031745321</v>
      </c>
      <c r="K11" s="42">
        <f>(1/((1+$F$33)^3))</f>
        <v>0.71656799133552873</v>
      </c>
    </row>
    <row r="12" spans="3:11">
      <c r="C12" s="9" t="s">
        <v>193</v>
      </c>
      <c r="D12" s="9"/>
      <c r="E12" s="9"/>
      <c r="F12" s="9"/>
      <c r="G12" s="9"/>
      <c r="H12" s="9"/>
      <c r="I12" s="9">
        <f>I9*I11</f>
        <v>-6694.7523161421132</v>
      </c>
      <c r="J12" s="9">
        <f t="shared" ref="J12:K12" si="2">J9*J11</f>
        <v>12241.302829743543</v>
      </c>
      <c r="K12" s="9">
        <f t="shared" si="2"/>
        <v>16869.086658885291</v>
      </c>
    </row>
    <row r="13" spans="3:11">
      <c r="C13" s="6" t="s">
        <v>194</v>
      </c>
      <c r="D13" s="6"/>
      <c r="E13" s="6"/>
      <c r="F13" s="6"/>
      <c r="G13" s="6"/>
      <c r="H13" s="6"/>
      <c r="I13" s="6"/>
      <c r="J13" s="6"/>
      <c r="K13" s="6">
        <f>(K12*(1+F34))/(F33-F34)</f>
        <v>310977.94536379841</v>
      </c>
    </row>
    <row r="15" spans="3:11">
      <c r="C15" s="208" t="s">
        <v>181</v>
      </c>
      <c r="D15" s="209"/>
    </row>
    <row r="16" spans="3:11">
      <c r="C16" s="63" t="s">
        <v>195</v>
      </c>
      <c r="D16" s="210">
        <f>SUM(I12:K12)+K13</f>
        <v>333393.58253628516</v>
      </c>
    </row>
    <row r="17" spans="3:6">
      <c r="C17" s="213" t="s">
        <v>198</v>
      </c>
      <c r="D17" s="211">
        <f>BS!G56</f>
        <v>-129876</v>
      </c>
    </row>
    <row r="18" spans="3:6">
      <c r="C18" s="213" t="s">
        <v>60</v>
      </c>
      <c r="D18" s="212">
        <f>BS!G50</f>
        <v>-296</v>
      </c>
    </row>
    <row r="19" spans="3:6">
      <c r="C19" s="63" t="s">
        <v>199</v>
      </c>
      <c r="D19" s="214">
        <f>D16-D17-D18</f>
        <v>463565.58253628516</v>
      </c>
    </row>
    <row r="20" spans="3:6">
      <c r="C20" s="61" t="s">
        <v>200</v>
      </c>
      <c r="D20" s="62">
        <v>639</v>
      </c>
    </row>
    <row r="21" spans="3:6">
      <c r="C21" s="152" t="s">
        <v>201</v>
      </c>
      <c r="D21" s="215">
        <f>D19/D20</f>
        <v>725.45474575318497</v>
      </c>
      <c r="E21" t="s">
        <v>203</v>
      </c>
    </row>
    <row r="23" spans="3:6">
      <c r="C23" s="6" t="s">
        <v>202</v>
      </c>
      <c r="D23" s="6">
        <v>1148</v>
      </c>
    </row>
    <row r="25" spans="3:6" ht="15.75" thickBot="1"/>
    <row r="26" spans="3:6">
      <c r="C26" s="204" t="s">
        <v>183</v>
      </c>
      <c r="D26" s="205"/>
      <c r="E26" s="205"/>
      <c r="F26" s="206"/>
    </row>
    <row r="27" spans="3:6">
      <c r="C27" s="188" t="s">
        <v>184</v>
      </c>
      <c r="D27" s="189" t="s">
        <v>185</v>
      </c>
      <c r="E27" s="189"/>
      <c r="F27" s="190">
        <v>6.5000000000000002E-2</v>
      </c>
    </row>
    <row r="28" spans="3:6">
      <c r="C28" s="188" t="s">
        <v>186</v>
      </c>
      <c r="D28" s="189" t="s">
        <v>185</v>
      </c>
      <c r="E28" s="189"/>
      <c r="F28" s="191">
        <v>0.05</v>
      </c>
    </row>
    <row r="29" spans="3:6">
      <c r="C29" s="188" t="s">
        <v>187</v>
      </c>
      <c r="D29" s="189" t="s">
        <v>188</v>
      </c>
      <c r="E29" s="189"/>
      <c r="F29" s="192">
        <v>1.05</v>
      </c>
    </row>
    <row r="30" spans="3:6">
      <c r="C30" s="193" t="s">
        <v>189</v>
      </c>
      <c r="D30" s="194" t="s">
        <v>185</v>
      </c>
      <c r="E30" s="194"/>
      <c r="F30" s="195">
        <f>+F27+F28*F29</f>
        <v>0.11750000000000001</v>
      </c>
    </row>
    <row r="31" spans="3:6">
      <c r="C31" s="188"/>
      <c r="D31" s="189"/>
      <c r="E31" s="189"/>
      <c r="F31" s="196"/>
    </row>
    <row r="32" spans="3:6">
      <c r="C32" s="188" t="s">
        <v>190</v>
      </c>
      <c r="D32" s="189" t="s">
        <v>185</v>
      </c>
      <c r="E32" s="189"/>
      <c r="F32" s="197">
        <v>0</v>
      </c>
    </row>
    <row r="33" spans="3:6">
      <c r="C33" s="198" t="s">
        <v>183</v>
      </c>
      <c r="D33" s="199" t="s">
        <v>185</v>
      </c>
      <c r="E33" s="199"/>
      <c r="F33" s="200">
        <f>+F30*(1-F32)+F31*F32</f>
        <v>0.11750000000000001</v>
      </c>
    </row>
    <row r="34" spans="3:6" ht="15.75" thickBot="1">
      <c r="C34" s="201" t="s">
        <v>191</v>
      </c>
      <c r="D34" s="202" t="s">
        <v>185</v>
      </c>
      <c r="E34" s="202"/>
      <c r="F34" s="20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&amp; Cost</vt:lpstr>
      <vt:lpstr>IS</vt:lpstr>
      <vt:lpstr>BS</vt:lpstr>
      <vt:lpstr>CF</vt:lpstr>
      <vt:lpstr>DCF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Suraj</dc:creator>
  <cp:lastModifiedBy>Singh, Suraj</cp:lastModifiedBy>
  <dcterms:created xsi:type="dcterms:W3CDTF">2026-02-19T09:09:40Z</dcterms:created>
  <dcterms:modified xsi:type="dcterms:W3CDTF">2026-02-22T11:57:57Z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2026-02-19T11:25:27Z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8e8d25ff-e22c-485a-a88d-7a7b36ce3254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