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RAJ\Downloads\suraj financial modelling\dmart model\"/>
    </mc:Choice>
  </mc:AlternateContent>
  <bookViews>
    <workbookView xWindow="0" yWindow="0" windowWidth="19200" windowHeight="6900"/>
  </bookViews>
  <sheets>
    <sheet name="DASHBOARD" sheetId="11" r:id="rId1"/>
    <sheet name="Assumptions" sheetId="9" r:id="rId2"/>
    <sheet name="Sales" sheetId="4" r:id="rId3"/>
    <sheet name="IS" sheetId="1" r:id="rId4"/>
    <sheet name="BS" sheetId="2" r:id="rId5"/>
    <sheet name="CF" sheetId="3" r:id="rId6"/>
    <sheet name="DCF" sheetId="7" r:id="rId7"/>
    <sheet name="Residual income" sheetId="10" r:id="rId8"/>
    <sheet name="Relative valuation" sheetId="8" r:id="rId9"/>
    <sheet name="WACC" sheetId="6" r:id="rId10"/>
    <sheet name="Ratio Analysis" sheetId="5" r:id="rId11"/>
    <sheet name="Charts" sheetId="12" r:id="rId12"/>
  </sheets>
  <definedNames>
    <definedName name="_xlnm.Print_Area" localSheetId="0">DASHBOARD!$A$1:$N$16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8" l="1"/>
  <c r="I23" i="8"/>
  <c r="I24" i="8"/>
  <c r="G22" i="8"/>
  <c r="K15" i="8"/>
  <c r="J15" i="8"/>
  <c r="I15" i="8"/>
  <c r="K18" i="8"/>
  <c r="J17" i="8"/>
  <c r="I16" i="8"/>
  <c r="I11" i="8"/>
  <c r="J11" i="8"/>
  <c r="I12" i="8"/>
  <c r="J12" i="8"/>
  <c r="K19" i="9" l="1"/>
  <c r="D22" i="10" l="1"/>
  <c r="D20" i="10"/>
  <c r="D12" i="10"/>
  <c r="E4" i="10"/>
  <c r="G6" i="10"/>
  <c r="H6" i="10"/>
  <c r="I6" i="10"/>
  <c r="F6" i="10"/>
  <c r="E6" i="10"/>
  <c r="E5" i="10"/>
  <c r="D5" i="10"/>
  <c r="D3" i="10"/>
  <c r="K11" i="8" l="1"/>
  <c r="K12" i="8"/>
  <c r="H12" i="8"/>
  <c r="H11" i="8"/>
  <c r="G12" i="8"/>
  <c r="G11" i="8"/>
  <c r="D6" i="7" l="1"/>
  <c r="C19" i="7"/>
  <c r="C16" i="7"/>
  <c r="L81" i="2"/>
  <c r="H81" i="2"/>
  <c r="D13" i="7"/>
  <c r="E13" i="7" s="1"/>
  <c r="F13" i="7" s="1"/>
  <c r="G13" i="7" s="1"/>
  <c r="H13" i="7" s="1"/>
  <c r="I13" i="7" s="1"/>
  <c r="C7" i="7"/>
  <c r="C6" i="7"/>
  <c r="C8" i="7" s="1"/>
  <c r="D7" i="7"/>
  <c r="D5" i="7"/>
  <c r="E4" i="7"/>
  <c r="F4" i="7"/>
  <c r="G4" i="7"/>
  <c r="H4" i="7"/>
  <c r="D4" i="7"/>
  <c r="E3" i="7"/>
  <c r="F3" i="7"/>
  <c r="G3" i="7"/>
  <c r="H3" i="7"/>
  <c r="D3" i="7"/>
  <c r="D8" i="7" l="1"/>
  <c r="D9" i="7"/>
  <c r="D10" i="7" s="1"/>
  <c r="D12" i="7" s="1"/>
  <c r="D14" i="7" s="1"/>
  <c r="C4" i="6" l="1"/>
  <c r="C9" i="6"/>
  <c r="C21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27" i="6"/>
  <c r="K28" i="6"/>
  <c r="K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27" i="6"/>
  <c r="C23" i="6"/>
  <c r="C10" i="6"/>
  <c r="C8" i="6"/>
  <c r="D14" i="6"/>
  <c r="D15" i="6"/>
  <c r="C15" i="6"/>
  <c r="C16" i="6" s="1"/>
  <c r="C7" i="6"/>
  <c r="C5" i="6"/>
  <c r="H26" i="1"/>
  <c r="D26" i="1"/>
  <c r="E26" i="1"/>
  <c r="F26" i="1"/>
  <c r="G26" i="1"/>
  <c r="C26" i="1"/>
  <c r="D17" i="5" l="1"/>
  <c r="E17" i="5"/>
  <c r="F17" i="5"/>
  <c r="G17" i="5"/>
  <c r="C17" i="5"/>
  <c r="C15" i="5"/>
  <c r="C7" i="5"/>
  <c r="D5" i="5"/>
  <c r="E5" i="5"/>
  <c r="F5" i="5"/>
  <c r="G5" i="5"/>
  <c r="C5" i="5"/>
  <c r="D4" i="5"/>
  <c r="E4" i="5"/>
  <c r="F4" i="5"/>
  <c r="G4" i="5"/>
  <c r="C4" i="5"/>
  <c r="D3" i="5"/>
  <c r="E3" i="5"/>
  <c r="F3" i="5"/>
  <c r="G3" i="5"/>
  <c r="C3" i="5"/>
  <c r="I50" i="3" l="1"/>
  <c r="J50" i="3"/>
  <c r="K50" i="3" s="1"/>
  <c r="L50" i="3" s="1"/>
  <c r="H50" i="3"/>
  <c r="I49" i="3"/>
  <c r="J49" i="3" s="1"/>
  <c r="K49" i="3" s="1"/>
  <c r="L49" i="3" s="1"/>
  <c r="H49" i="3"/>
  <c r="H36" i="3"/>
  <c r="I51" i="3"/>
  <c r="J51" i="3"/>
  <c r="K51" i="3"/>
  <c r="L51" i="3"/>
  <c r="H51" i="3"/>
  <c r="D22" i="5" l="1"/>
  <c r="D26" i="5" s="1"/>
  <c r="E22" i="5"/>
  <c r="E26" i="5" s="1"/>
  <c r="F22" i="5"/>
  <c r="F26" i="5" s="1"/>
  <c r="G22" i="5"/>
  <c r="G26" i="5" s="1"/>
  <c r="C22" i="5"/>
  <c r="C26" i="5" s="1"/>
  <c r="D23" i="5"/>
  <c r="D27" i="5" s="1"/>
  <c r="E23" i="5"/>
  <c r="E27" i="5" s="1"/>
  <c r="F23" i="5"/>
  <c r="F27" i="5" s="1"/>
  <c r="G23" i="5"/>
  <c r="G27" i="5" s="1"/>
  <c r="C23" i="5"/>
  <c r="C27" i="5" s="1"/>
  <c r="D21" i="5"/>
  <c r="D25" i="5" s="1"/>
  <c r="E21" i="5"/>
  <c r="E25" i="5" s="1"/>
  <c r="F21" i="5"/>
  <c r="F25" i="5" s="1"/>
  <c r="G21" i="5"/>
  <c r="G25" i="5" s="1"/>
  <c r="C21" i="5"/>
  <c r="C25" i="5" s="1"/>
  <c r="H35" i="3"/>
  <c r="E5" i="7" s="1"/>
  <c r="I32" i="3"/>
  <c r="J32" i="3"/>
  <c r="K32" i="3"/>
  <c r="L32" i="3"/>
  <c r="H32" i="3"/>
  <c r="I7" i="3"/>
  <c r="J7" i="3"/>
  <c r="K7" i="3" s="1"/>
  <c r="L7" i="3" s="1"/>
  <c r="H7" i="3"/>
  <c r="H36" i="2"/>
  <c r="I35" i="2"/>
  <c r="J35" i="2"/>
  <c r="K35" i="2" s="1"/>
  <c r="L35" i="2" s="1"/>
  <c r="H35" i="2"/>
  <c r="I31" i="2"/>
  <c r="J31" i="2" s="1"/>
  <c r="K31" i="2" s="1"/>
  <c r="L31" i="2" s="1"/>
  <c r="H31" i="2"/>
  <c r="I30" i="2"/>
  <c r="J30" i="2"/>
  <c r="K30" i="2" s="1"/>
  <c r="L30" i="2" s="1"/>
  <c r="H30" i="2"/>
  <c r="I27" i="2"/>
  <c r="J27" i="2"/>
  <c r="K27" i="2" s="1"/>
  <c r="L27" i="2" s="1"/>
  <c r="H27" i="2"/>
  <c r="I25" i="2"/>
  <c r="J25" i="2"/>
  <c r="K25" i="2"/>
  <c r="L25" i="2"/>
  <c r="H25" i="2"/>
  <c r="H19" i="2"/>
  <c r="I19" i="2" s="1"/>
  <c r="J19" i="2" s="1"/>
  <c r="K19" i="2" s="1"/>
  <c r="L19" i="2" s="1"/>
  <c r="H18" i="2"/>
  <c r="I18" i="2" s="1"/>
  <c r="J18" i="2" s="1"/>
  <c r="K18" i="2" s="1"/>
  <c r="L18" i="2" s="1"/>
  <c r="H17" i="2"/>
  <c r="I17" i="2"/>
  <c r="J17" i="2"/>
  <c r="K17" i="2" s="1"/>
  <c r="L17" i="2" s="1"/>
  <c r="I16" i="2"/>
  <c r="J16" i="2"/>
  <c r="K16" i="2"/>
  <c r="L16" i="2"/>
  <c r="H16" i="2"/>
  <c r="I15" i="2"/>
  <c r="J15" i="2" s="1"/>
  <c r="K15" i="2" s="1"/>
  <c r="L15" i="2" s="1"/>
  <c r="H15" i="2"/>
  <c r="I14" i="2"/>
  <c r="J14" i="2"/>
  <c r="K14" i="2" s="1"/>
  <c r="L14" i="2" s="1"/>
  <c r="H14" i="2"/>
  <c r="I13" i="2"/>
  <c r="J13" i="2"/>
  <c r="K13" i="2"/>
  <c r="L13" i="2"/>
  <c r="H13" i="2"/>
  <c r="I10" i="2"/>
  <c r="J10" i="2"/>
  <c r="K10" i="2"/>
  <c r="L10" i="2"/>
  <c r="H10" i="2"/>
  <c r="I9" i="2"/>
  <c r="J9" i="2"/>
  <c r="K9" i="2"/>
  <c r="L9" i="2"/>
  <c r="H9" i="2"/>
  <c r="I8" i="2"/>
  <c r="J8" i="2" s="1"/>
  <c r="K8" i="2" s="1"/>
  <c r="L8" i="2" s="1"/>
  <c r="H8" i="2"/>
  <c r="C25" i="1"/>
  <c r="D25" i="1"/>
  <c r="E25" i="1"/>
  <c r="F25" i="1"/>
  <c r="G25" i="1"/>
  <c r="I16" i="1"/>
  <c r="J16" i="1" s="1"/>
  <c r="K16" i="1" s="1"/>
  <c r="L16" i="1" s="1"/>
  <c r="H16" i="1"/>
  <c r="G28" i="5" l="1"/>
  <c r="C31" i="5"/>
  <c r="E31" i="5" s="1"/>
  <c r="C33" i="5"/>
  <c r="E33" i="5" s="1"/>
  <c r="C32" i="5"/>
  <c r="E32" i="5" s="1"/>
  <c r="F28" i="5"/>
  <c r="E28" i="5"/>
  <c r="C28" i="5"/>
  <c r="D28" i="5"/>
  <c r="K11" i="4" l="1"/>
  <c r="I11" i="4" s="1"/>
  <c r="J11" i="4" s="1"/>
  <c r="E12" i="4"/>
  <c r="F12" i="4"/>
  <c r="G12" i="4"/>
  <c r="H12" i="4"/>
  <c r="D12" i="4"/>
  <c r="F6" i="4"/>
  <c r="G6" i="4"/>
  <c r="H6" i="4"/>
  <c r="E6" i="4"/>
  <c r="E8" i="4"/>
  <c r="F8" i="4"/>
  <c r="G8" i="4"/>
  <c r="H8" i="4"/>
  <c r="D8" i="4"/>
  <c r="K7" i="4"/>
  <c r="I7" i="4" s="1"/>
  <c r="J7" i="4" s="1"/>
  <c r="K4" i="4"/>
  <c r="I4" i="4" s="1"/>
  <c r="J4" i="4" s="1"/>
  <c r="K3" i="4"/>
  <c r="E5" i="4"/>
  <c r="F5" i="4"/>
  <c r="G5" i="4"/>
  <c r="H5" i="4"/>
  <c r="D5" i="4"/>
  <c r="K8" i="4" l="1"/>
  <c r="K12" i="4"/>
  <c r="I12" i="4" s="1"/>
  <c r="K5" i="4"/>
  <c r="I5" i="4" s="1"/>
  <c r="C98" i="2"/>
  <c r="H83" i="2"/>
  <c r="H29" i="3" s="1"/>
  <c r="H97" i="2"/>
  <c r="D97" i="2"/>
  <c r="E97" i="2"/>
  <c r="F97" i="2"/>
  <c r="G97" i="2"/>
  <c r="C97" i="2"/>
  <c r="H96" i="2"/>
  <c r="D96" i="2"/>
  <c r="E96" i="2"/>
  <c r="F96" i="2"/>
  <c r="G96" i="2"/>
  <c r="C96" i="2"/>
  <c r="D12" i="2"/>
  <c r="E12" i="2"/>
  <c r="F12" i="2"/>
  <c r="G12" i="2"/>
  <c r="C12" i="2"/>
  <c r="G84" i="2"/>
  <c r="C93" i="2"/>
  <c r="D91" i="2"/>
  <c r="C91" i="2"/>
  <c r="D84" i="2"/>
  <c r="C84" i="2"/>
  <c r="D80" i="2" s="1"/>
  <c r="D87" i="2"/>
  <c r="E87" i="2" s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28" i="1"/>
  <c r="J12" i="4" l="1"/>
  <c r="J13" i="4" s="1"/>
  <c r="I13" i="4"/>
  <c r="I3" i="4"/>
  <c r="J5" i="4"/>
  <c r="J3" i="4" s="1"/>
  <c r="D93" i="2"/>
  <c r="E80" i="2"/>
  <c r="E84" i="2" s="1"/>
  <c r="E91" i="2"/>
  <c r="F87" i="2" s="1"/>
  <c r="J8" i="4" l="1"/>
  <c r="J9" i="4" s="1"/>
  <c r="I4" i="1"/>
  <c r="J4" i="1" s="1"/>
  <c r="K4" i="1" s="1"/>
  <c r="L4" i="1" s="1"/>
  <c r="I8" i="4"/>
  <c r="I9" i="4" s="1"/>
  <c r="H4" i="1"/>
  <c r="H5" i="1" s="1"/>
  <c r="F80" i="2"/>
  <c r="F84" i="2" s="1"/>
  <c r="E93" i="2"/>
  <c r="F91" i="2"/>
  <c r="G87" i="2" s="1"/>
  <c r="I5" i="1" l="1"/>
  <c r="G80" i="2"/>
  <c r="F93" i="2"/>
  <c r="G91" i="2"/>
  <c r="H87" i="2" s="1"/>
  <c r="J5" i="1" l="1"/>
  <c r="H80" i="2"/>
  <c r="H84" i="2" s="1"/>
  <c r="D98" i="2" s="1"/>
  <c r="G93" i="2"/>
  <c r="K5" i="1" l="1"/>
  <c r="L5" i="1"/>
  <c r="I80" i="2"/>
  <c r="I81" i="2" s="1"/>
  <c r="I35" i="3" l="1"/>
  <c r="F5" i="7" s="1"/>
  <c r="I83" i="2"/>
  <c r="I29" i="3" l="1"/>
  <c r="I84" i="2"/>
  <c r="E98" i="2" l="1"/>
  <c r="J80" i="2"/>
  <c r="J81" i="2" s="1"/>
  <c r="J35" i="3" l="1"/>
  <c r="G5" i="7" s="1"/>
  <c r="J83" i="2"/>
  <c r="J84" i="2" l="1"/>
  <c r="J29" i="3"/>
  <c r="K80" i="2" l="1"/>
  <c r="F98" i="2"/>
  <c r="K81" i="2" l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  <c r="C44" i="1"/>
  <c r="D44" i="1"/>
  <c r="E44" i="1"/>
  <c r="F44" i="1"/>
  <c r="G44" i="1"/>
  <c r="C45" i="1"/>
  <c r="D45" i="1"/>
  <c r="E45" i="1"/>
  <c r="F45" i="1"/>
  <c r="G45" i="1"/>
  <c r="C46" i="1"/>
  <c r="D46" i="1"/>
  <c r="E46" i="1"/>
  <c r="F46" i="1"/>
  <c r="G46" i="1"/>
  <c r="C47" i="1"/>
  <c r="D47" i="1"/>
  <c r="E47" i="1"/>
  <c r="F47" i="1"/>
  <c r="G47" i="1"/>
  <c r="C48" i="1"/>
  <c r="D48" i="1"/>
  <c r="E48" i="1"/>
  <c r="F48" i="1"/>
  <c r="G48" i="1"/>
  <c r="D28" i="1"/>
  <c r="E28" i="1"/>
  <c r="F28" i="1"/>
  <c r="G28" i="1"/>
  <c r="C28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4" i="1"/>
  <c r="U3" i="1"/>
  <c r="Q4" i="1"/>
  <c r="R4" i="1"/>
  <c r="S4" i="1"/>
  <c r="T4" i="1"/>
  <c r="Q5" i="1"/>
  <c r="R5" i="1"/>
  <c r="S5" i="1"/>
  <c r="T5" i="1"/>
  <c r="Q6" i="1"/>
  <c r="R6" i="1"/>
  <c r="S6" i="1"/>
  <c r="T6" i="1"/>
  <c r="Q7" i="1"/>
  <c r="R7" i="1"/>
  <c r="S7" i="1"/>
  <c r="T7" i="1"/>
  <c r="Q8" i="1"/>
  <c r="R8" i="1"/>
  <c r="S8" i="1"/>
  <c r="T8" i="1"/>
  <c r="Q9" i="1"/>
  <c r="R9" i="1"/>
  <c r="S9" i="1"/>
  <c r="T9" i="1"/>
  <c r="Q10" i="1"/>
  <c r="R10" i="1"/>
  <c r="S10" i="1"/>
  <c r="T10" i="1"/>
  <c r="Q11" i="1"/>
  <c r="R11" i="1"/>
  <c r="S11" i="1"/>
  <c r="T11" i="1"/>
  <c r="Q12" i="1"/>
  <c r="R12" i="1"/>
  <c r="S12" i="1"/>
  <c r="T12" i="1"/>
  <c r="Q13" i="1"/>
  <c r="R13" i="1"/>
  <c r="S13" i="1"/>
  <c r="T13" i="1"/>
  <c r="Q14" i="1"/>
  <c r="R14" i="1"/>
  <c r="S14" i="1"/>
  <c r="T14" i="1"/>
  <c r="Q15" i="1"/>
  <c r="R15" i="1"/>
  <c r="S15" i="1"/>
  <c r="T15" i="1"/>
  <c r="Q16" i="1"/>
  <c r="R16" i="1"/>
  <c r="S16" i="1"/>
  <c r="T16" i="1"/>
  <c r="Q17" i="1"/>
  <c r="R17" i="1"/>
  <c r="S17" i="1"/>
  <c r="T17" i="1"/>
  <c r="Q18" i="1"/>
  <c r="R18" i="1"/>
  <c r="S18" i="1"/>
  <c r="T18" i="1"/>
  <c r="Q19" i="1"/>
  <c r="R19" i="1"/>
  <c r="S19" i="1"/>
  <c r="T19" i="1"/>
  <c r="Q20" i="1"/>
  <c r="R20" i="1"/>
  <c r="S20" i="1"/>
  <c r="T20" i="1"/>
  <c r="Q21" i="1"/>
  <c r="R21" i="1"/>
  <c r="S21" i="1"/>
  <c r="T21" i="1"/>
  <c r="R3" i="1"/>
  <c r="S3" i="1"/>
  <c r="T3" i="1"/>
  <c r="Q3" i="1"/>
  <c r="K35" i="3" l="1"/>
  <c r="H5" i="7" s="1"/>
  <c r="K83" i="2"/>
  <c r="K29" i="3" l="1"/>
  <c r="K84" i="2"/>
  <c r="C42" i="3"/>
  <c r="D42" i="3"/>
  <c r="L80" i="2" l="1"/>
  <c r="G98" i="2"/>
  <c r="H98" i="2" s="1"/>
  <c r="K88" i="2" s="1"/>
  <c r="K14" i="1" s="1"/>
  <c r="C31" i="2"/>
  <c r="C27" i="2"/>
  <c r="C26" i="2"/>
  <c r="C19" i="2"/>
  <c r="C10" i="2"/>
  <c r="D31" i="2"/>
  <c r="D27" i="2"/>
  <c r="D26" i="2"/>
  <c r="D19" i="2"/>
  <c r="D10" i="2"/>
  <c r="E31" i="2"/>
  <c r="E27" i="2"/>
  <c r="E26" i="2"/>
  <c r="G27" i="2"/>
  <c r="E19" i="2"/>
  <c r="E10" i="2"/>
  <c r="I88" i="2" l="1"/>
  <c r="I14" i="1" s="1"/>
  <c r="I5" i="3" s="1"/>
  <c r="H88" i="2"/>
  <c r="J88" i="2"/>
  <c r="J14" i="1" s="1"/>
  <c r="J5" i="3" s="1"/>
  <c r="F19" i="3"/>
  <c r="E19" i="3"/>
  <c r="D19" i="3"/>
  <c r="G19" i="3"/>
  <c r="F20" i="3"/>
  <c r="E20" i="3"/>
  <c r="D20" i="3"/>
  <c r="G20" i="3"/>
  <c r="F13" i="3"/>
  <c r="E13" i="3"/>
  <c r="D13" i="3"/>
  <c r="G13" i="3"/>
  <c r="D6" i="3"/>
  <c r="E6" i="3"/>
  <c r="F6" i="3"/>
  <c r="G6" i="3"/>
  <c r="H6" i="3"/>
  <c r="I6" i="3"/>
  <c r="J6" i="3"/>
  <c r="K6" i="3"/>
  <c r="L6" i="3"/>
  <c r="C6" i="3"/>
  <c r="D5" i="3"/>
  <c r="E5" i="3"/>
  <c r="F5" i="3"/>
  <c r="G5" i="3"/>
  <c r="K5" i="3"/>
  <c r="C5" i="3"/>
  <c r="F4" i="3"/>
  <c r="G4" i="3"/>
  <c r="F31" i="2"/>
  <c r="F27" i="2"/>
  <c r="F26" i="2"/>
  <c r="G31" i="2"/>
  <c r="G26" i="2"/>
  <c r="F19" i="2"/>
  <c r="F18" i="2"/>
  <c r="F10" i="2"/>
  <c r="G19" i="2"/>
  <c r="G18" i="2"/>
  <c r="G10" i="2"/>
  <c r="L83" i="2" l="1"/>
  <c r="L29" i="3" s="1"/>
  <c r="L35" i="3"/>
  <c r="I5" i="7" s="1"/>
  <c r="H14" i="1"/>
  <c r="H91" i="2"/>
  <c r="L84" i="2"/>
  <c r="L88" i="2" s="1"/>
  <c r="L14" i="1" s="1"/>
  <c r="L5" i="3" s="1"/>
  <c r="D38" i="3"/>
  <c r="E38" i="3"/>
  <c r="F38" i="3"/>
  <c r="G38" i="3"/>
  <c r="H38" i="3"/>
  <c r="I38" i="3"/>
  <c r="J38" i="3"/>
  <c r="K38" i="3"/>
  <c r="L38" i="3"/>
  <c r="C38" i="3"/>
  <c r="D28" i="3"/>
  <c r="E28" i="3"/>
  <c r="F28" i="3"/>
  <c r="G28" i="3"/>
  <c r="H28" i="3"/>
  <c r="I28" i="3"/>
  <c r="J28" i="3"/>
  <c r="K28" i="3"/>
  <c r="C28" i="3"/>
  <c r="F3" i="3"/>
  <c r="G3" i="3"/>
  <c r="D34" i="2"/>
  <c r="E34" i="2"/>
  <c r="F34" i="2"/>
  <c r="G34" i="2"/>
  <c r="H34" i="2"/>
  <c r="C34" i="2"/>
  <c r="C33" i="2" s="1"/>
  <c r="D28" i="2"/>
  <c r="E28" i="2"/>
  <c r="F28" i="2"/>
  <c r="G28" i="2"/>
  <c r="H28" i="2"/>
  <c r="I28" i="2"/>
  <c r="J28" i="2"/>
  <c r="K28" i="2"/>
  <c r="L28" i="2"/>
  <c r="C28" i="2"/>
  <c r="D23" i="2"/>
  <c r="E23" i="2"/>
  <c r="F23" i="2"/>
  <c r="G23" i="2"/>
  <c r="C23" i="2"/>
  <c r="D11" i="2"/>
  <c r="E11" i="2"/>
  <c r="F11" i="2"/>
  <c r="G11" i="2"/>
  <c r="C11" i="2"/>
  <c r="D10" i="1"/>
  <c r="E10" i="1"/>
  <c r="F10" i="1"/>
  <c r="G10" i="1"/>
  <c r="C10" i="1"/>
  <c r="D6" i="1"/>
  <c r="E6" i="1"/>
  <c r="E9" i="1" s="1"/>
  <c r="F6" i="1"/>
  <c r="G6" i="1"/>
  <c r="C6" i="1"/>
  <c r="D3" i="1"/>
  <c r="E3" i="1"/>
  <c r="F3" i="1"/>
  <c r="G3" i="1"/>
  <c r="H3" i="1"/>
  <c r="I3" i="1"/>
  <c r="J3" i="1"/>
  <c r="K3" i="1"/>
  <c r="L3" i="1"/>
  <c r="C3" i="1"/>
  <c r="L28" i="3" l="1"/>
  <c r="I87" i="2"/>
  <c r="I91" i="2" s="1"/>
  <c r="H93" i="2"/>
  <c r="H12" i="2" s="1"/>
  <c r="H11" i="2" s="1"/>
  <c r="I4" i="7"/>
  <c r="H5" i="3"/>
  <c r="G33" i="2"/>
  <c r="G15" i="5"/>
  <c r="G7" i="5"/>
  <c r="F33" i="2"/>
  <c r="F7" i="5"/>
  <c r="F15" i="5"/>
  <c r="E33" i="2"/>
  <c r="E21" i="2" s="1"/>
  <c r="E15" i="5"/>
  <c r="E7" i="5"/>
  <c r="D33" i="2"/>
  <c r="D15" i="5"/>
  <c r="D7" i="5"/>
  <c r="K11" i="1"/>
  <c r="K12" i="1"/>
  <c r="K6" i="1"/>
  <c r="J6" i="1"/>
  <c r="J11" i="1"/>
  <c r="J12" i="1"/>
  <c r="I9" i="1"/>
  <c r="I11" i="1"/>
  <c r="I6" i="1"/>
  <c r="I12" i="1"/>
  <c r="L12" i="1"/>
  <c r="L6" i="1"/>
  <c r="L11" i="1"/>
  <c r="H7" i="2"/>
  <c r="I7" i="2" s="1"/>
  <c r="H12" i="1"/>
  <c r="H11" i="1"/>
  <c r="H6" i="1"/>
  <c r="E22" i="2"/>
  <c r="C22" i="2"/>
  <c r="C21" i="2" s="1"/>
  <c r="D22" i="2"/>
  <c r="D21" i="2" s="1"/>
  <c r="C9" i="1"/>
  <c r="C13" i="1" s="1"/>
  <c r="C15" i="1" s="1"/>
  <c r="C17" i="1" s="1"/>
  <c r="C4" i="3" s="1"/>
  <c r="C3" i="3" s="1"/>
  <c r="C56" i="3" s="1"/>
  <c r="C58" i="3" s="1"/>
  <c r="D9" i="1"/>
  <c r="D13" i="1" s="1"/>
  <c r="D15" i="1" s="1"/>
  <c r="D17" i="1" s="1"/>
  <c r="D19" i="1" s="1"/>
  <c r="D21" i="1" s="1"/>
  <c r="E13" i="1"/>
  <c r="E15" i="1" s="1"/>
  <c r="E17" i="1" s="1"/>
  <c r="E4" i="3" s="1"/>
  <c r="E3" i="3" s="1"/>
  <c r="E56" i="3" s="1"/>
  <c r="F56" i="3"/>
  <c r="G56" i="3"/>
  <c r="F22" i="2"/>
  <c r="G22" i="2"/>
  <c r="G21" i="2" s="1"/>
  <c r="F9" i="1"/>
  <c r="F13" i="1" s="1"/>
  <c r="F15" i="1" s="1"/>
  <c r="F17" i="1" s="1"/>
  <c r="F19" i="1" s="1"/>
  <c r="F21" i="1" s="1"/>
  <c r="G9" i="1"/>
  <c r="G13" i="1" s="1"/>
  <c r="G15" i="1" s="1"/>
  <c r="G17" i="1" s="1"/>
  <c r="G19" i="1" s="1"/>
  <c r="G21" i="1" s="1"/>
  <c r="H10" i="1" l="1"/>
  <c r="I10" i="1"/>
  <c r="I13" i="1" s="1"/>
  <c r="I15" i="1" s="1"/>
  <c r="I17" i="1" s="1"/>
  <c r="I18" i="1" s="1"/>
  <c r="I26" i="3" s="1"/>
  <c r="I93" i="2"/>
  <c r="I12" i="2" s="1"/>
  <c r="I11" i="2" s="1"/>
  <c r="J87" i="2"/>
  <c r="J91" i="2" s="1"/>
  <c r="D57" i="3"/>
  <c r="C6" i="2"/>
  <c r="C12" i="5" s="1"/>
  <c r="F21" i="2"/>
  <c r="J10" i="1"/>
  <c r="J7" i="2"/>
  <c r="K7" i="2" s="1"/>
  <c r="H26" i="2"/>
  <c r="H5" i="2"/>
  <c r="I5" i="2" s="1"/>
  <c r="L9" i="1"/>
  <c r="J9" i="1"/>
  <c r="K10" i="1"/>
  <c r="H19" i="3"/>
  <c r="I19" i="3"/>
  <c r="H9" i="1"/>
  <c r="H13" i="1" s="1"/>
  <c r="H15" i="1" s="1"/>
  <c r="L10" i="1"/>
  <c r="K9" i="1"/>
  <c r="I4" i="3"/>
  <c r="C19" i="1"/>
  <c r="C21" i="1" s="1"/>
  <c r="C4" i="2"/>
  <c r="D4" i="3"/>
  <c r="D3" i="3" s="1"/>
  <c r="D56" i="3" s="1"/>
  <c r="D58" i="3" s="1"/>
  <c r="E19" i="1"/>
  <c r="E21" i="1" s="1"/>
  <c r="H17" i="1" l="1"/>
  <c r="I3" i="7"/>
  <c r="K87" i="2"/>
  <c r="K91" i="2" s="1"/>
  <c r="J93" i="2"/>
  <c r="J12" i="2" s="1"/>
  <c r="J11" i="2" s="1"/>
  <c r="C11" i="5"/>
  <c r="C10" i="5"/>
  <c r="J13" i="1"/>
  <c r="J15" i="1" s="1"/>
  <c r="J17" i="1" s="1"/>
  <c r="J18" i="1" s="1"/>
  <c r="J26" i="3" s="1"/>
  <c r="J19" i="3"/>
  <c r="J5" i="2"/>
  <c r="J20" i="3" s="1"/>
  <c r="H13" i="3"/>
  <c r="H23" i="2"/>
  <c r="K13" i="1"/>
  <c r="K15" i="1" s="1"/>
  <c r="K17" i="1" s="1"/>
  <c r="I26" i="2"/>
  <c r="L13" i="1"/>
  <c r="L15" i="1" s="1"/>
  <c r="L17" i="1" s="1"/>
  <c r="H20" i="3"/>
  <c r="I20" i="3"/>
  <c r="K19" i="3"/>
  <c r="L7" i="2"/>
  <c r="L19" i="3" s="1"/>
  <c r="I19" i="1"/>
  <c r="E57" i="3"/>
  <c r="E58" i="3" s="1"/>
  <c r="F57" i="3" s="1"/>
  <c r="F58" i="3" s="1"/>
  <c r="G57" i="3" s="1"/>
  <c r="G58" i="3" s="1"/>
  <c r="H57" i="3" s="1"/>
  <c r="D6" i="2"/>
  <c r="C3" i="2"/>
  <c r="C43" i="2"/>
  <c r="I21" i="1" l="1"/>
  <c r="F3" i="10"/>
  <c r="H22" i="2"/>
  <c r="E7" i="7"/>
  <c r="L87" i="2"/>
  <c r="L91" i="2" s="1"/>
  <c r="L93" i="2" s="1"/>
  <c r="L12" i="2" s="1"/>
  <c r="L11" i="2" s="1"/>
  <c r="K93" i="2"/>
  <c r="K12" i="2" s="1"/>
  <c r="K11" i="2" s="1"/>
  <c r="H4" i="3"/>
  <c r="H18" i="1"/>
  <c r="E6" i="2"/>
  <c r="E12" i="5" s="1"/>
  <c r="J4" i="3"/>
  <c r="D4" i="2"/>
  <c r="D12" i="5"/>
  <c r="C16" i="5"/>
  <c r="C6" i="5"/>
  <c r="C20" i="5"/>
  <c r="K18" i="1"/>
  <c r="K26" i="3" s="1"/>
  <c r="K4" i="3"/>
  <c r="L18" i="1"/>
  <c r="L26" i="3" s="1"/>
  <c r="L4" i="3"/>
  <c r="I13" i="3"/>
  <c r="I3" i="3" s="1"/>
  <c r="I56" i="3" s="1"/>
  <c r="I23" i="2"/>
  <c r="J26" i="2"/>
  <c r="J19" i="1"/>
  <c r="K5" i="2"/>
  <c r="L5" i="2" s="1"/>
  <c r="L20" i="3" s="1"/>
  <c r="D3" i="2"/>
  <c r="C39" i="2"/>
  <c r="C46" i="2"/>
  <c r="C50" i="2"/>
  <c r="C54" i="2"/>
  <c r="C58" i="2"/>
  <c r="C62" i="2"/>
  <c r="C66" i="2"/>
  <c r="C70" i="2"/>
  <c r="C74" i="2"/>
  <c r="C47" i="2"/>
  <c r="C51" i="2"/>
  <c r="C55" i="2"/>
  <c r="C59" i="2"/>
  <c r="C63" i="2"/>
  <c r="C71" i="2"/>
  <c r="C75" i="2"/>
  <c r="C44" i="2"/>
  <c r="C52" i="2"/>
  <c r="C60" i="2"/>
  <c r="C68" i="2"/>
  <c r="C76" i="2"/>
  <c r="C67" i="2"/>
  <c r="C48" i="2"/>
  <c r="C56" i="2"/>
  <c r="C64" i="2"/>
  <c r="C72" i="2"/>
  <c r="C57" i="2"/>
  <c r="C73" i="2"/>
  <c r="C49" i="2"/>
  <c r="C53" i="2"/>
  <c r="C61" i="2"/>
  <c r="C42" i="2"/>
  <c r="C65" i="2"/>
  <c r="C69" i="2"/>
  <c r="C45" i="2"/>
  <c r="D45" i="2"/>
  <c r="E4" i="2"/>
  <c r="F6" i="2"/>
  <c r="F12" i="5" s="1"/>
  <c r="J21" i="1" l="1"/>
  <c r="G3" i="10"/>
  <c r="I22" i="2"/>
  <c r="F7" i="7"/>
  <c r="K19" i="1"/>
  <c r="H26" i="3"/>
  <c r="H3" i="3" s="1"/>
  <c r="H56" i="3" s="1"/>
  <c r="H58" i="3" s="1"/>
  <c r="H6" i="2" s="1"/>
  <c r="H19" i="1"/>
  <c r="E10" i="5"/>
  <c r="E11" i="5"/>
  <c r="D10" i="5"/>
  <c r="D11" i="5"/>
  <c r="D43" i="2"/>
  <c r="D16" i="5"/>
  <c r="D20" i="5"/>
  <c r="D6" i="5"/>
  <c r="K20" i="3"/>
  <c r="K26" i="2"/>
  <c r="J13" i="3"/>
  <c r="J3" i="3" s="1"/>
  <c r="J56" i="3" s="1"/>
  <c r="J23" i="2"/>
  <c r="L19" i="1"/>
  <c r="E3" i="2"/>
  <c r="E43" i="2" s="1"/>
  <c r="F4" i="2"/>
  <c r="D39" i="2"/>
  <c r="D42" i="2"/>
  <c r="D65" i="2"/>
  <c r="D69" i="2"/>
  <c r="D71" i="2"/>
  <c r="D72" i="2"/>
  <c r="D74" i="2"/>
  <c r="D75" i="2"/>
  <c r="D76" i="2"/>
  <c r="D44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6" i="2"/>
  <c r="D67" i="2"/>
  <c r="D68" i="2"/>
  <c r="D70" i="2"/>
  <c r="D73" i="2"/>
  <c r="G6" i="2"/>
  <c r="G12" i="5" s="1"/>
  <c r="H21" i="1" l="1"/>
  <c r="I36" i="2" s="1"/>
  <c r="E3" i="10"/>
  <c r="E7" i="10" s="1"/>
  <c r="E9" i="10" s="1"/>
  <c r="E10" i="10" s="1"/>
  <c r="K21" i="1"/>
  <c r="H3" i="10"/>
  <c r="L21" i="1"/>
  <c r="I3" i="10"/>
  <c r="I34" i="2"/>
  <c r="I33" i="2" s="1"/>
  <c r="J36" i="2"/>
  <c r="J22" i="2"/>
  <c r="G7" i="7"/>
  <c r="E16" i="5"/>
  <c r="E20" i="5"/>
  <c r="E6" i="5"/>
  <c r="F11" i="5"/>
  <c r="F10" i="5"/>
  <c r="K13" i="3"/>
  <c r="K3" i="3" s="1"/>
  <c r="K56" i="3" s="1"/>
  <c r="K23" i="2"/>
  <c r="L26" i="2"/>
  <c r="G4" i="2"/>
  <c r="F3" i="2"/>
  <c r="F43" i="2"/>
  <c r="E39" i="2"/>
  <c r="E44" i="2"/>
  <c r="E46" i="2"/>
  <c r="E48" i="2"/>
  <c r="E49" i="2"/>
  <c r="E50" i="2"/>
  <c r="E52" i="2"/>
  <c r="E54" i="2"/>
  <c r="E56" i="2"/>
  <c r="E58" i="2"/>
  <c r="E60" i="2"/>
  <c r="E63" i="2"/>
  <c r="E65" i="2"/>
  <c r="E67" i="2"/>
  <c r="E70" i="2"/>
  <c r="E72" i="2"/>
  <c r="E74" i="2"/>
  <c r="E76" i="2"/>
  <c r="E47" i="2"/>
  <c r="E51" i="2"/>
  <c r="E53" i="2"/>
  <c r="E55" i="2"/>
  <c r="E57" i="2"/>
  <c r="E59" i="2"/>
  <c r="E61" i="2"/>
  <c r="E62" i="2"/>
  <c r="E64" i="2"/>
  <c r="E66" i="2"/>
  <c r="E68" i="2"/>
  <c r="E69" i="2"/>
  <c r="E71" i="2"/>
  <c r="E73" i="2"/>
  <c r="E75" i="2"/>
  <c r="E42" i="2"/>
  <c r="E45" i="2"/>
  <c r="I21" i="2" l="1"/>
  <c r="F5" i="10"/>
  <c r="K36" i="2"/>
  <c r="J34" i="2"/>
  <c r="J33" i="2" s="1"/>
  <c r="K22" i="2"/>
  <c r="H7" i="7"/>
  <c r="F16" i="5"/>
  <c r="F20" i="5"/>
  <c r="F6" i="5"/>
  <c r="G11" i="5"/>
  <c r="G10" i="5"/>
  <c r="L13" i="3"/>
  <c r="L3" i="3" s="1"/>
  <c r="L56" i="3" s="1"/>
  <c r="L23" i="2"/>
  <c r="F39" i="2"/>
  <c r="F44" i="2"/>
  <c r="F47" i="2"/>
  <c r="F42" i="2"/>
  <c r="F46" i="2"/>
  <c r="F48" i="2"/>
  <c r="F50" i="2"/>
  <c r="F53" i="2"/>
  <c r="F57" i="2"/>
  <c r="F61" i="2"/>
  <c r="F65" i="2"/>
  <c r="F69" i="2"/>
  <c r="F73" i="2"/>
  <c r="F59" i="2"/>
  <c r="F67" i="2"/>
  <c r="F52" i="2"/>
  <c r="F64" i="2"/>
  <c r="F72" i="2"/>
  <c r="F49" i="2"/>
  <c r="F54" i="2"/>
  <c r="F58" i="2"/>
  <c r="F62" i="2"/>
  <c r="F66" i="2"/>
  <c r="F70" i="2"/>
  <c r="F74" i="2"/>
  <c r="F55" i="2"/>
  <c r="F63" i="2"/>
  <c r="F71" i="2"/>
  <c r="F75" i="2"/>
  <c r="F56" i="2"/>
  <c r="F60" i="2"/>
  <c r="F68" i="2"/>
  <c r="F76" i="2"/>
  <c r="F51" i="2"/>
  <c r="F45" i="2"/>
  <c r="G3" i="2"/>
  <c r="J21" i="2" l="1"/>
  <c r="G5" i="10"/>
  <c r="F4" i="10"/>
  <c r="F7" i="10" s="1"/>
  <c r="F9" i="10" s="1"/>
  <c r="F10" i="10" s="1"/>
  <c r="G4" i="10"/>
  <c r="G7" i="10" s="1"/>
  <c r="G9" i="10" s="1"/>
  <c r="G10" i="10" s="1"/>
  <c r="L36" i="2"/>
  <c r="L34" i="2" s="1"/>
  <c r="L33" i="2" s="1"/>
  <c r="I5" i="10" s="1"/>
  <c r="K34" i="2"/>
  <c r="K33" i="2" s="1"/>
  <c r="L22" i="2"/>
  <c r="I7" i="7"/>
  <c r="G16" i="5"/>
  <c r="G20" i="5"/>
  <c r="G6" i="5"/>
  <c r="G39" i="2"/>
  <c r="G44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42" i="2"/>
  <c r="G45" i="2"/>
  <c r="G43" i="2"/>
  <c r="K21" i="2" l="1"/>
  <c r="H5" i="10"/>
  <c r="I4" i="10" s="1"/>
  <c r="I7" i="10" s="1"/>
  <c r="L21" i="2"/>
  <c r="I8" i="10" l="1"/>
  <c r="I9" i="10" s="1"/>
  <c r="I10" i="10" s="1"/>
  <c r="H4" i="10"/>
  <c r="H7" i="10" s="1"/>
  <c r="H9" i="10" s="1"/>
  <c r="H10" i="10" s="1"/>
  <c r="H33" i="2"/>
  <c r="H21" i="2" s="1"/>
  <c r="H4" i="2"/>
  <c r="E6" i="7" s="1"/>
  <c r="I57" i="3"/>
  <c r="I58" i="3" s="1"/>
  <c r="I6" i="2" s="1"/>
  <c r="D11" i="10" l="1"/>
  <c r="D13" i="10" s="1"/>
  <c r="D17" i="10" s="1"/>
  <c r="E8" i="7"/>
  <c r="E9" i="7" s="1"/>
  <c r="E10" i="7" s="1"/>
  <c r="H3" i="2"/>
  <c r="I4" i="2"/>
  <c r="F6" i="7" s="1"/>
  <c r="J57" i="3"/>
  <c r="J58" i="3" s="1"/>
  <c r="J6" i="2" s="1"/>
  <c r="E12" i="7" l="1"/>
  <c r="E14" i="7" s="1"/>
  <c r="K57" i="3"/>
  <c r="K58" i="3" s="1"/>
  <c r="K6" i="2" s="1"/>
  <c r="J4" i="2"/>
  <c r="G6" i="7" s="1"/>
  <c r="I3" i="2"/>
  <c r="F8" i="7"/>
  <c r="F9" i="7" s="1"/>
  <c r="F10" i="7" s="1"/>
  <c r="H39" i="2"/>
  <c r="F12" i="7" l="1"/>
  <c r="F14" i="7" s="1"/>
  <c r="I39" i="2"/>
  <c r="J3" i="2"/>
  <c r="G8" i="7"/>
  <c r="G9" i="7" s="1"/>
  <c r="G10" i="7" s="1"/>
  <c r="K4" i="2"/>
  <c r="H6" i="7" s="1"/>
  <c r="L57" i="3"/>
  <c r="L58" i="3" s="1"/>
  <c r="L6" i="2" s="1"/>
  <c r="L4" i="2" l="1"/>
  <c r="G12" i="7"/>
  <c r="G14" i="7" s="1"/>
  <c r="J39" i="2"/>
  <c r="K3" i="2"/>
  <c r="H8" i="7"/>
  <c r="H9" i="7" s="1"/>
  <c r="H10" i="7" s="1"/>
  <c r="I6" i="7" l="1"/>
  <c r="I8" i="7" s="1"/>
  <c r="I9" i="7" s="1"/>
  <c r="I10" i="7" s="1"/>
  <c r="L3" i="2"/>
  <c r="H12" i="7"/>
  <c r="H14" i="7" s="1"/>
  <c r="L39" i="2"/>
  <c r="K39" i="2"/>
  <c r="I11" i="7" l="1"/>
  <c r="I12" i="7" s="1"/>
  <c r="I14" i="7" s="1"/>
  <c r="C15" i="7" s="1"/>
  <c r="C20" i="7" s="1"/>
  <c r="C22" i="7" s="1"/>
  <c r="G21" i="8" s="1"/>
  <c r="I21" i="8" s="1"/>
  <c r="I25" i="8" s="1"/>
  <c r="I8" i="11" s="1"/>
  <c r="I10" i="11" s="1"/>
  <c r="B30" i="7" l="1"/>
  <c r="J30" i="7"/>
  <c r="C24" i="7"/>
</calcChain>
</file>

<file path=xl/comments1.xml><?xml version="1.0" encoding="utf-8"?>
<comments xmlns="http://schemas.openxmlformats.org/spreadsheetml/2006/main">
  <authors>
    <author>SURAJ</author>
  </authors>
  <commentList>
    <comment ref="C6" authorId="0" shapeId="0">
      <text>
        <r>
          <rPr>
            <b/>
            <sz val="9"/>
            <color indexed="81"/>
            <rFont val="Tahoma"/>
            <family val="2"/>
          </rPr>
          <t>SURAJ:</t>
        </r>
        <r>
          <rPr>
            <sz val="9"/>
            <color indexed="81"/>
            <rFont val="Tahoma"/>
            <family val="2"/>
          </rPr>
          <t xml:space="preserve">
including bank overdrawn balance
</t>
        </r>
      </text>
    </comment>
    <comment ref="D6" authorId="0" shapeId="0">
      <text>
        <r>
          <rPr>
            <b/>
            <sz val="9"/>
            <color indexed="81"/>
            <rFont val="Tahoma"/>
            <family val="2"/>
          </rPr>
          <t>SURAJ:</t>
        </r>
        <r>
          <rPr>
            <sz val="9"/>
            <color indexed="81"/>
            <rFont val="Tahoma"/>
            <family val="2"/>
          </rPr>
          <t xml:space="preserve">
including overdrawn bank balance
</t>
        </r>
      </text>
    </comment>
  </commentList>
</comments>
</file>

<file path=xl/comments2.xml><?xml version="1.0" encoding="utf-8"?>
<comments xmlns="http://schemas.openxmlformats.org/spreadsheetml/2006/main">
  <authors>
    <author>SURAJ</author>
  </authors>
  <commentList>
    <comment ref="D36" authorId="0" shapeId="0">
      <text>
        <r>
          <rPr>
            <b/>
            <sz val="9"/>
            <color indexed="81"/>
            <rFont val="Tahoma"/>
            <family val="2"/>
          </rPr>
          <t>SURAJ:</t>
        </r>
        <r>
          <rPr>
            <sz val="9"/>
            <color indexed="81"/>
            <rFont val="Tahoma"/>
            <family val="2"/>
          </rPr>
          <t xml:space="preserve">
includes deposit in fd</t>
        </r>
      </text>
    </comment>
    <comment ref="D42" authorId="0" shapeId="0">
      <text>
        <r>
          <rPr>
            <b/>
            <sz val="9"/>
            <color indexed="81"/>
            <rFont val="Tahoma"/>
            <family val="2"/>
          </rPr>
          <t>SURAJ:</t>
        </r>
        <r>
          <rPr>
            <sz val="9"/>
            <color indexed="81"/>
            <rFont val="Tahoma"/>
            <family val="2"/>
          </rPr>
          <t xml:space="preserve">
includes long term borrowings as well
</t>
        </r>
      </text>
    </comment>
  </commentList>
</comments>
</file>

<file path=xl/sharedStrings.xml><?xml version="1.0" encoding="utf-8"?>
<sst xmlns="http://schemas.openxmlformats.org/spreadsheetml/2006/main" count="679" uniqueCount="433">
  <si>
    <t>All amounts are in crores</t>
  </si>
  <si>
    <t>2019A</t>
  </si>
  <si>
    <t>2020A</t>
  </si>
  <si>
    <t>2021A</t>
  </si>
  <si>
    <t>2022A</t>
  </si>
  <si>
    <t>2023A</t>
  </si>
  <si>
    <t>2024E</t>
  </si>
  <si>
    <t>2025E</t>
  </si>
  <si>
    <t>2026E</t>
  </si>
  <si>
    <t>2027E</t>
  </si>
  <si>
    <t>2028E</t>
  </si>
  <si>
    <t>Income</t>
  </si>
  <si>
    <t>revenue from operations</t>
  </si>
  <si>
    <t>other income</t>
  </si>
  <si>
    <t>Cost of goods sold</t>
  </si>
  <si>
    <t>purchase of stock in trade</t>
  </si>
  <si>
    <t>changes in inventory and stock in trade</t>
  </si>
  <si>
    <t>Gross Profit</t>
  </si>
  <si>
    <t>employee benefit expense</t>
  </si>
  <si>
    <t>other expense</t>
  </si>
  <si>
    <t>Other operating cost</t>
  </si>
  <si>
    <t>Depreciation and ammortization expense</t>
  </si>
  <si>
    <t>Finance cost</t>
  </si>
  <si>
    <t>Taxes</t>
  </si>
  <si>
    <t>operating profit (EBITDA)</t>
  </si>
  <si>
    <t>Operating profit (EBIT)</t>
  </si>
  <si>
    <t>Earnings before tax (EBT)</t>
  </si>
  <si>
    <t>Earnings after tax (EAT)</t>
  </si>
  <si>
    <t>dividends</t>
  </si>
  <si>
    <t>Earnings transferred to reserve</t>
  </si>
  <si>
    <t>profit for the parent</t>
  </si>
  <si>
    <t>Non controlling interest</t>
  </si>
  <si>
    <t>TOTAL ASSETS</t>
  </si>
  <si>
    <t>Current assets</t>
  </si>
  <si>
    <t>inventories</t>
  </si>
  <si>
    <t>investments</t>
  </si>
  <si>
    <t>trade receivables</t>
  </si>
  <si>
    <t>cash and cash equivalents</t>
  </si>
  <si>
    <t>other current assets</t>
  </si>
  <si>
    <t>bank balance other than cash</t>
  </si>
  <si>
    <t>Long term assets</t>
  </si>
  <si>
    <t>PPE</t>
  </si>
  <si>
    <t>capital work in progress</t>
  </si>
  <si>
    <t>right of use assets</t>
  </si>
  <si>
    <t>Investment properties</t>
  </si>
  <si>
    <t>Goodwill</t>
  </si>
  <si>
    <t>Intangible assets</t>
  </si>
  <si>
    <t>financial assets</t>
  </si>
  <si>
    <t>other non current assets</t>
  </si>
  <si>
    <t>TOTAL EXTERNAL LIABILITIES</t>
  </si>
  <si>
    <t>TOTAL LIABILITIES</t>
  </si>
  <si>
    <t>Current liabilities</t>
  </si>
  <si>
    <t>Lease liabilities</t>
  </si>
  <si>
    <t>Short term borrowings</t>
  </si>
  <si>
    <t>Trade payables</t>
  </si>
  <si>
    <t>other current liabilities</t>
  </si>
  <si>
    <t>Long term liabilities</t>
  </si>
  <si>
    <t>Long term borrowing</t>
  </si>
  <si>
    <t>lease liabilities</t>
  </si>
  <si>
    <t>other non current liabilities</t>
  </si>
  <si>
    <t>EQUITIES</t>
  </si>
  <si>
    <t>equity share capital</t>
  </si>
  <si>
    <t>other equity</t>
  </si>
  <si>
    <t>non controlling interest</t>
  </si>
  <si>
    <t>profit before tax</t>
  </si>
  <si>
    <t>depreciation and ammortization</t>
  </si>
  <si>
    <t>profit on sale of investment</t>
  </si>
  <si>
    <t>expense on employee stock option</t>
  </si>
  <si>
    <t>rent income</t>
  </si>
  <si>
    <t>loss on PPE</t>
  </si>
  <si>
    <t xml:space="preserve"> change in trade payables</t>
  </si>
  <si>
    <t>change in current provisions</t>
  </si>
  <si>
    <t>change in other current financial liabilities</t>
  </si>
  <si>
    <t>change in other current liabilities</t>
  </si>
  <si>
    <t>change in non current provisions</t>
  </si>
  <si>
    <t>change in other non current financial liabilities</t>
  </si>
  <si>
    <t>change in trade receivables</t>
  </si>
  <si>
    <t>Change in working capital</t>
  </si>
  <si>
    <t>change in inventories</t>
  </si>
  <si>
    <t>change in current investments</t>
  </si>
  <si>
    <t>change in other non current financial assets</t>
  </si>
  <si>
    <t>change in other current assets</t>
  </si>
  <si>
    <t>change in other current financial assets</t>
  </si>
  <si>
    <t>increase in bank balance other than cash</t>
  </si>
  <si>
    <t>Direct tax paid</t>
  </si>
  <si>
    <t>shareholder equity</t>
  </si>
  <si>
    <t>Cash flow from operating activities</t>
  </si>
  <si>
    <t>Cash flow from investing activities</t>
  </si>
  <si>
    <t>Proceeds from disposal of property, plant and equipment</t>
  </si>
  <si>
    <t>Realisation from FDs of IPO proceeds</t>
  </si>
  <si>
    <t>interest received</t>
  </si>
  <si>
    <t>Gain on sale of investments</t>
  </si>
  <si>
    <t>Rent income received</t>
  </si>
  <si>
    <t>Purchase of PPE/ intangible assets/investment properties</t>
  </si>
  <si>
    <t>Cash flow from financing activities</t>
  </si>
  <si>
    <t>purchase of other investments</t>
  </si>
  <si>
    <t>Proceeds from of exercise of share options</t>
  </si>
  <si>
    <t>Proceeds from share application money pending allotment</t>
  </si>
  <si>
    <t>Proceeds from short term borrowings</t>
  </si>
  <si>
    <t>Repayment of short term borrowings</t>
  </si>
  <si>
    <t>Payment of lease liability</t>
  </si>
  <si>
    <t>Interest paid on lease liability</t>
  </si>
  <si>
    <t>Interest paid</t>
  </si>
  <si>
    <t>Change in cash</t>
  </si>
  <si>
    <t xml:space="preserve">opening cash balance </t>
  </si>
  <si>
    <t>closing cash balance</t>
  </si>
  <si>
    <t>Interest income</t>
  </si>
  <si>
    <t>Realisation from FDs of QIP proceeds</t>
  </si>
  <si>
    <t>Proceeds from issue of QIP (net of expenses)</t>
  </si>
  <si>
    <t>Proceeds from commercial papers</t>
  </si>
  <si>
    <t>Proceeds of non convertible debentures</t>
  </si>
  <si>
    <t>Repayment of long term borrowings</t>
  </si>
  <si>
    <t>Repayment of commercial papers</t>
  </si>
  <si>
    <t>Repayment of non convertible debentures</t>
  </si>
  <si>
    <t>BALANCE SHEET CHECK</t>
  </si>
  <si>
    <t>common size statements horizontol</t>
  </si>
  <si>
    <t>Average</t>
  </si>
  <si>
    <t>common size statement vertical</t>
  </si>
  <si>
    <t>Vertical analysis</t>
  </si>
  <si>
    <t>PPE SCHEDULE</t>
  </si>
  <si>
    <t>opening balance</t>
  </si>
  <si>
    <t>addition</t>
  </si>
  <si>
    <t>reclassification</t>
  </si>
  <si>
    <t>closure</t>
  </si>
  <si>
    <t>closing balance</t>
  </si>
  <si>
    <t>GROSS BLOCK</t>
  </si>
  <si>
    <t>DEPRECIATION</t>
  </si>
  <si>
    <t>depreciation during the year</t>
  </si>
  <si>
    <t>NET BLOCK</t>
  </si>
  <si>
    <t>addition as percent of opening balance</t>
  </si>
  <si>
    <t>closure as a percentage of addition</t>
  </si>
  <si>
    <t>depreciation as a percentage of gross block</t>
  </si>
  <si>
    <t>no of stores</t>
  </si>
  <si>
    <t>rate</t>
  </si>
  <si>
    <t>bill cuts</t>
  </si>
  <si>
    <t>retail business area</t>
  </si>
  <si>
    <t>Activity ratio</t>
  </si>
  <si>
    <t>Days payables</t>
  </si>
  <si>
    <t>Days inventory outstanding</t>
  </si>
  <si>
    <t>Days receivables</t>
  </si>
  <si>
    <t>cash conversion cycle</t>
  </si>
  <si>
    <t>Accounts payable turnover</t>
  </si>
  <si>
    <t>Account inventory turnover</t>
  </si>
  <si>
    <t>Accounts receivable turnover</t>
  </si>
  <si>
    <t>Asset turnover ratio</t>
  </si>
  <si>
    <t>average days payable</t>
  </si>
  <si>
    <t>average inventory outstanding</t>
  </si>
  <si>
    <t>average days receivable</t>
  </si>
  <si>
    <t>bm accounts payable</t>
  </si>
  <si>
    <t>Profitability ratio</t>
  </si>
  <si>
    <t>Gross profit margin</t>
  </si>
  <si>
    <t>operating profit margin</t>
  </si>
  <si>
    <t>net profit margin</t>
  </si>
  <si>
    <t>return on asset</t>
  </si>
  <si>
    <t>return on equity</t>
  </si>
  <si>
    <t>Liquidity ratio</t>
  </si>
  <si>
    <t>current ratio</t>
  </si>
  <si>
    <t>quick ratio</t>
  </si>
  <si>
    <t>cash ratio</t>
  </si>
  <si>
    <t>solvency ratio</t>
  </si>
  <si>
    <t>debt to equity ratio</t>
  </si>
  <si>
    <t>asset to equity ratio</t>
  </si>
  <si>
    <t>interest coverage ratio</t>
  </si>
  <si>
    <t>WACC CALCULATION</t>
  </si>
  <si>
    <t>WACC</t>
  </si>
  <si>
    <t>cost of debt</t>
  </si>
  <si>
    <t>less : tax</t>
  </si>
  <si>
    <t>effective cost of debt</t>
  </si>
  <si>
    <t>total debt weight</t>
  </si>
  <si>
    <t>cost of equity</t>
  </si>
  <si>
    <t>total equity weight</t>
  </si>
  <si>
    <t>TAX RATE</t>
  </si>
  <si>
    <t>COST OF DEBT</t>
  </si>
  <si>
    <t>AVERAGE</t>
  </si>
  <si>
    <t>Target weight</t>
  </si>
  <si>
    <t>market capitalization (equity)</t>
  </si>
  <si>
    <t>book value of debt</t>
  </si>
  <si>
    <t>total</t>
  </si>
  <si>
    <t>Risk free rate</t>
  </si>
  <si>
    <t>Beta</t>
  </si>
  <si>
    <t>Required market return</t>
  </si>
  <si>
    <t>Market premium</t>
  </si>
  <si>
    <t>https://in.investing.com/rates-bonds/india-10-year-bond-yield-historical-data</t>
  </si>
  <si>
    <t>CALCULATION OF BETA</t>
  </si>
  <si>
    <t>Date</t>
  </si>
  <si>
    <t>Return of dmart</t>
  </si>
  <si>
    <t>Return of nifty</t>
  </si>
  <si>
    <t>Dmart Adj Close</t>
  </si>
  <si>
    <t>Nifty Adj Close</t>
  </si>
  <si>
    <t>-</t>
  </si>
  <si>
    <t>Estimated dmart return</t>
  </si>
  <si>
    <t>self calculation</t>
  </si>
  <si>
    <t>COST OF EQUITY (CAPM)</t>
  </si>
  <si>
    <t>NSE</t>
  </si>
  <si>
    <t>Slope</t>
  </si>
  <si>
    <t>Intercept</t>
  </si>
  <si>
    <t>NOPAT</t>
  </si>
  <si>
    <t>Depreciation and ammortization</t>
  </si>
  <si>
    <t>capex</t>
  </si>
  <si>
    <t>current assets (non cash)</t>
  </si>
  <si>
    <t>current liabilities ( non debt)</t>
  </si>
  <si>
    <t>working capital</t>
  </si>
  <si>
    <t>change in working capital</t>
  </si>
  <si>
    <t>FCFF</t>
  </si>
  <si>
    <t>Terminal value</t>
  </si>
  <si>
    <t>cumulative fcff</t>
  </si>
  <si>
    <t>wacc</t>
  </si>
  <si>
    <t>present value of fcff</t>
  </si>
  <si>
    <t>enterprise value</t>
  </si>
  <si>
    <t>debt</t>
  </si>
  <si>
    <t>minority shares</t>
  </si>
  <si>
    <t>preffered shares</t>
  </si>
  <si>
    <t>cash</t>
  </si>
  <si>
    <t>equity value</t>
  </si>
  <si>
    <t>no of shares outstanding</t>
  </si>
  <si>
    <t>dmart share price</t>
  </si>
  <si>
    <t>premium in the market</t>
  </si>
  <si>
    <t>overvalued</t>
  </si>
  <si>
    <t>WACC AND GROWTH</t>
  </si>
  <si>
    <t>beta</t>
  </si>
  <si>
    <t>BETA AND GROWTH</t>
  </si>
  <si>
    <t>&gt;&gt;&gt;economic growth rate</t>
  </si>
  <si>
    <t>Name</t>
  </si>
  <si>
    <t>P/E</t>
  </si>
  <si>
    <t>Avenue Super.</t>
  </si>
  <si>
    <t>Trent</t>
  </si>
  <si>
    <t>Vedant Fashions</t>
  </si>
  <si>
    <t>Redtape</t>
  </si>
  <si>
    <t>Medplus Health</t>
  </si>
  <si>
    <t>Electronics Mart</t>
  </si>
  <si>
    <t>Ethos Ltd</t>
  </si>
  <si>
    <t>Mar Cap Rs.Cr.</t>
  </si>
  <si>
    <t>ROCE %</t>
  </si>
  <si>
    <t>EV / EBITDA</t>
  </si>
  <si>
    <t>Debt / Eq</t>
  </si>
  <si>
    <t>ROE %</t>
  </si>
  <si>
    <t xml:space="preserve">EPS </t>
  </si>
  <si>
    <t xml:space="preserve">ROA </t>
  </si>
  <si>
    <t>price</t>
  </si>
  <si>
    <t>SR.No.</t>
  </si>
  <si>
    <t>Median</t>
  </si>
  <si>
    <t>(all numbers are in INR crores)</t>
  </si>
  <si>
    <t>Net income</t>
  </si>
  <si>
    <t>Equity charge</t>
  </si>
  <si>
    <t>Book value</t>
  </si>
  <si>
    <t>Cost of equity</t>
  </si>
  <si>
    <t>Residual income</t>
  </si>
  <si>
    <t>Cumulative cash flow</t>
  </si>
  <si>
    <t>Present value of RI</t>
  </si>
  <si>
    <t>Cumuative PV of RI</t>
  </si>
  <si>
    <t>Total expected BV</t>
  </si>
  <si>
    <t>2021E</t>
  </si>
  <si>
    <t>2022E</t>
  </si>
  <si>
    <t>2023E</t>
  </si>
  <si>
    <t>number of shares outstanding</t>
  </si>
  <si>
    <t>Implied fair value</t>
  </si>
  <si>
    <t>share price</t>
  </si>
  <si>
    <t>book value per share</t>
  </si>
  <si>
    <t>price /BV</t>
  </si>
  <si>
    <t>FONT</t>
  </si>
  <si>
    <t>all hardcoded values are in blue</t>
  </si>
  <si>
    <t>all formulas and calculated values are in black</t>
  </si>
  <si>
    <t>all numbers are rounded off</t>
  </si>
  <si>
    <t>INCOME STATEMENT</t>
  </si>
  <si>
    <t>Sensitivity analysis</t>
  </si>
  <si>
    <t>Implied share value</t>
  </si>
  <si>
    <t>Revenue per store</t>
  </si>
  <si>
    <t>Revenue per business</t>
  </si>
  <si>
    <t>Average bill count</t>
  </si>
  <si>
    <t>Revenue from operations</t>
  </si>
  <si>
    <t>Other income</t>
  </si>
  <si>
    <t>Cost of Good Sold</t>
  </si>
  <si>
    <t>Assuming COGS ratio to be consistent with average of previous years</t>
  </si>
  <si>
    <t>Purchase of stock-in-trade</t>
  </si>
  <si>
    <t>Changes in inventories of stock-in-trade</t>
  </si>
  <si>
    <t xml:space="preserve"> revenue calculated with multiple approach such as revenue per store,average bill cuts and revenue per business. Further from 2027 sales grow at 15% to account for same level</t>
  </si>
  <si>
    <t>Assumed to be in line with  year average share of previous year</t>
  </si>
  <si>
    <t>Other operating costs</t>
  </si>
  <si>
    <t>Employee benefits expense</t>
  </si>
  <si>
    <t>Other expenses</t>
  </si>
  <si>
    <t>Operating Profit (EBITDA)</t>
  </si>
  <si>
    <t>Depreciation and amortisation expense</t>
  </si>
  <si>
    <t>Operating Profit (EBIT)</t>
  </si>
  <si>
    <t>Finance costs</t>
  </si>
  <si>
    <t>Other non operating income</t>
  </si>
  <si>
    <t>Tax rate is taken to stay constant in the coming years</t>
  </si>
  <si>
    <t>Earning after taxes (EAT)</t>
  </si>
  <si>
    <t>Dividend paid</t>
  </si>
  <si>
    <t>Assumed to be zero as firm is not expected to pay any dividends</t>
  </si>
  <si>
    <t>Assumed to be used the earning to finance, expansion activities.</t>
  </si>
  <si>
    <t>Profit for the parent</t>
  </si>
  <si>
    <t>Non-controlling interest</t>
  </si>
  <si>
    <t>Assumed to be zero</t>
  </si>
  <si>
    <t>Balance Sheet</t>
  </si>
  <si>
    <t>Total Assets</t>
  </si>
  <si>
    <t>Current Assets</t>
  </si>
  <si>
    <t>Cash and Cash equivalents</t>
  </si>
  <si>
    <t>Cash and Cash Equivalents is collected from corresponsing Cash Flow Statements</t>
  </si>
  <si>
    <t>Investment</t>
  </si>
  <si>
    <t xml:space="preserve"> Assumed to be in line with 2020 numbers and taken to be constant in coming years</t>
  </si>
  <si>
    <t>Trade receivables</t>
  </si>
  <si>
    <t>Trade Receviables are forecast based on average receviable days</t>
  </si>
  <si>
    <t>Inventory</t>
  </si>
  <si>
    <t>Inventory is forecast based on Average Days Sale outstanding of preceding years.</t>
  </si>
  <si>
    <t>Other current assets</t>
  </si>
  <si>
    <t>Long Term Assets</t>
  </si>
  <si>
    <t>Take opening balance of PPE,add related capital expense and subtract depreciation.</t>
  </si>
  <si>
    <t>Capital work in progress</t>
  </si>
  <si>
    <t>Right to use assets</t>
  </si>
  <si>
    <t>Intangibles</t>
  </si>
  <si>
    <t>Financial Assets</t>
  </si>
  <si>
    <t>Total external Liabilities</t>
  </si>
  <si>
    <t>Total liabilities</t>
  </si>
  <si>
    <t>Current Liabilities</t>
  </si>
  <si>
    <t>Short Term borrowings</t>
  </si>
  <si>
    <t>Lease Liabilities</t>
  </si>
  <si>
    <t>Trade Payable are forecast based on average Payable days</t>
  </si>
  <si>
    <t>Other current liabilities</t>
  </si>
  <si>
    <t>Long term borrowings</t>
  </si>
  <si>
    <t>other Long term liabilities</t>
  </si>
  <si>
    <t>Equities</t>
  </si>
  <si>
    <t>Shareholder's equity</t>
  </si>
  <si>
    <t>Equity share capital</t>
  </si>
  <si>
    <t>Assuming no new equity issueance unless statements need the same</t>
  </si>
  <si>
    <t>Other equity</t>
  </si>
  <si>
    <t>Other Equity are estimated by adding opening balances and net income</t>
  </si>
  <si>
    <t>Non controlling equity</t>
  </si>
  <si>
    <t>Cash flow from operations</t>
  </si>
  <si>
    <t>Proft before taxes</t>
  </si>
  <si>
    <t>Profits is taken from corresponsing Income Statement.</t>
  </si>
  <si>
    <t>Depreciation and amortization</t>
  </si>
  <si>
    <t>Depreciation is taken from corresponsing Income Statement.</t>
  </si>
  <si>
    <t>Financing cost</t>
  </si>
  <si>
    <t>Financing Cost is taken from corresponsing Income Statement.</t>
  </si>
  <si>
    <t>Profit from sale of investment</t>
  </si>
  <si>
    <t>Assumed to be 0.</t>
  </si>
  <si>
    <t>Expense on employee stock options</t>
  </si>
  <si>
    <t>Rent income</t>
  </si>
  <si>
    <t>Dividend Income</t>
  </si>
  <si>
    <t>Gain/loss on disposal of PPE</t>
  </si>
  <si>
    <t>Change in Trade Payables</t>
  </si>
  <si>
    <t>Subtract the Trade payable current year balance from previous year balance.</t>
  </si>
  <si>
    <t>Change in current provisions</t>
  </si>
  <si>
    <t>Change in other current fincial liabilities</t>
  </si>
  <si>
    <t>Change in other current liabilities</t>
  </si>
  <si>
    <t>Change in non current provisions</t>
  </si>
  <si>
    <t>Change in other non current fincial liabilities</t>
  </si>
  <si>
    <t>Change in trade receivable</t>
  </si>
  <si>
    <t>Subtract the Trade receviable current year balance from previous year balance.</t>
  </si>
  <si>
    <t>Change in inventory</t>
  </si>
  <si>
    <t>Subtract the Inventory current year balance from previous year balance.</t>
  </si>
  <si>
    <t>Change in current investments</t>
  </si>
  <si>
    <t>Change in non-current financial assets</t>
  </si>
  <si>
    <t>Change in bank balance (other than cash)</t>
  </si>
  <si>
    <t>Change in other current assets</t>
  </si>
  <si>
    <t>Change in other financial assets</t>
  </si>
  <si>
    <t>Direct taxes paid</t>
  </si>
  <si>
    <t>Cash flow from investing</t>
  </si>
  <si>
    <t>Proceeds from disposal of PPE</t>
  </si>
  <si>
    <t>Taken from closure column of corresponding PPE Schedule.</t>
  </si>
  <si>
    <t>Realization from FDs of IPO</t>
  </si>
  <si>
    <t>Realization from FDs of QIP</t>
  </si>
  <si>
    <t>Subtract the finance assets previous year balance from current year balance.</t>
  </si>
  <si>
    <t>Interest received</t>
  </si>
  <si>
    <t>Gain on sales of investments</t>
  </si>
  <si>
    <t>Rental income</t>
  </si>
  <si>
    <t>Dividend received</t>
  </si>
  <si>
    <t>Investment in associate before conversion</t>
  </si>
  <si>
    <t>Purchase of PPE</t>
  </si>
  <si>
    <t>Taken from addition column of corresponding PPE Schedule.</t>
  </si>
  <si>
    <t>Purchase of Current Investment</t>
  </si>
  <si>
    <t>QIP proceeds deposited into FDs</t>
  </si>
  <si>
    <t>IPO Proceeds in bank</t>
  </si>
  <si>
    <t>Investment in associate for conversion</t>
  </si>
  <si>
    <t>Cash flow from financing</t>
  </si>
  <si>
    <t>Proceeds from issue of shares (IPO)</t>
  </si>
  <si>
    <t>Proceeds from issue of QIP</t>
  </si>
  <si>
    <t xml:space="preserve">Proceeds from of exercise of share options </t>
  </si>
  <si>
    <t>Proceeds from long term borrowings</t>
  </si>
  <si>
    <t>Proceeds from non convertible ddbentures</t>
  </si>
  <si>
    <t>Proceeds from commercial paper</t>
  </si>
  <si>
    <t>Proceeds from NCD</t>
  </si>
  <si>
    <t>Repayment of long term borrowing</t>
  </si>
  <si>
    <t>Repayment of NCD</t>
  </si>
  <si>
    <t>Repayment of non convertiable debenture</t>
  </si>
  <si>
    <t>Taken from interest column of corresponding Income statements.</t>
  </si>
  <si>
    <t>The WACC is calculated assuming the target D/E ratio of 0%.</t>
  </si>
  <si>
    <t>The data for cost of equity is calculated by CAPM method.</t>
  </si>
  <si>
    <t>The cost of debt is taken as the current cost of debt ( as per Earnings Call 2014)</t>
  </si>
  <si>
    <t xml:space="preserve">Assumed to be in line with average percent of income </t>
  </si>
  <si>
    <t>Depreciation is taken as percentage of gross block</t>
  </si>
  <si>
    <t>Assumed to be in line with 2023 numbers</t>
  </si>
  <si>
    <t xml:space="preserve"> Assumed to be in line with 2023 numbers and taken to be constant in coming years</t>
  </si>
  <si>
    <t xml:space="preserve"> Assumed to be in line with 2024 numbers and taken to be constant in coming years</t>
  </si>
  <si>
    <t xml:space="preserve"> Assumed to be 0</t>
  </si>
  <si>
    <t xml:space="preserve"> Assumed to be in line with 2023 numbers and taken to be constant in coming years.</t>
  </si>
  <si>
    <t>Assumed to be in line with 2023</t>
  </si>
  <si>
    <t>AVENUE SUPERMART Financial Model &amp; Valuation</t>
  </si>
  <si>
    <t>DCF</t>
  </si>
  <si>
    <t>CONTENTS</t>
  </si>
  <si>
    <t>&gt;&gt;&gt; Charts</t>
  </si>
  <si>
    <t>&gt;&gt;&gt; Assumption</t>
  </si>
  <si>
    <t>&gt;&gt;&gt; Income statement</t>
  </si>
  <si>
    <t>&gt;&gt;&gt; Balance sheet</t>
  </si>
  <si>
    <t>&gt;&gt;&gt; Cash flow statement</t>
  </si>
  <si>
    <t>&gt;&gt;&gt; DCF</t>
  </si>
  <si>
    <t>&gt;&gt;&gt; Residual income</t>
  </si>
  <si>
    <t>&gt;&gt;&gt; Relative valuation</t>
  </si>
  <si>
    <t>&gt;&gt;&gt; Ratio analysis</t>
  </si>
  <si>
    <t>OVERVIEW</t>
  </si>
  <si>
    <t>Revenue</t>
  </si>
  <si>
    <t xml:space="preserve">DMart Ltd., headquartered in Mumbai, is a leading Indian retail chain known for its innovative store formats and extensive product offerings across food, </t>
  </si>
  <si>
    <t xml:space="preserve">general merchandise, and home solutions categories. With a focus on providing quality products at affordable prices, DMart has established a strong presence </t>
  </si>
  <si>
    <t>throughout India, offering customers a unique shopping experience.</t>
  </si>
  <si>
    <t>Current trading price</t>
  </si>
  <si>
    <t>Valuation</t>
  </si>
  <si>
    <t>Price to book</t>
  </si>
  <si>
    <t>Price to sales</t>
  </si>
  <si>
    <t>Implied share value (AS)</t>
  </si>
  <si>
    <t>Book value per share of AS</t>
  </si>
  <si>
    <t>Sales per share of AS</t>
  </si>
  <si>
    <t>EBITDA of AS</t>
  </si>
  <si>
    <t>P / BV</t>
  </si>
  <si>
    <t>P / Sales</t>
  </si>
  <si>
    <t>3468.1 To 4130.3</t>
  </si>
  <si>
    <t>3325.1 To 4670.9</t>
  </si>
  <si>
    <t xml:space="preserve">DECISION </t>
  </si>
  <si>
    <t>Composite value</t>
  </si>
  <si>
    <t>Weightage method of valuation</t>
  </si>
  <si>
    <t>price to book value</t>
  </si>
  <si>
    <t>price to sales</t>
  </si>
  <si>
    <t>Tolerance limit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</si>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</sst>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66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sz val="10"/>
      <color theme="1"/>
      <name val="Arial"/>
      <family val="2"/>
    </font>
    <font>
      <b/>
      <sz val="15"/>
      <color theme="0"/>
      <name val="Arial"/>
      <family val="2"/>
    </font>
    <font>
      <b/>
      <sz val="20"/>
      <color theme="0"/>
      <name val="Arial"/>
      <family val="2"/>
    </font>
    <font>
      <b/>
      <u/>
      <sz val="15"/>
      <color theme="5" tint="-0.499984740745262"/>
      <name val="Arial"/>
      <family val="2"/>
    </font>
    <font>
      <b/>
      <u/>
      <sz val="11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4" fillId="0" borderId="0"/>
  </cellStyleXfs>
  <cellXfs count="188">
    <xf numFmtId="0" fontId="0" fillId="0" borderId="0" xfId="0"/>
    <xf numFmtId="0" fontId="0" fillId="0" borderId="0" xfId="0" applyBorder="1"/>
    <xf numFmtId="0" fontId="0" fillId="2" borderId="0" xfId="0" applyFill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2" xfId="0" applyBorder="1"/>
    <xf numFmtId="0" fontId="3" fillId="0" borderId="0" xfId="0" applyFont="1" applyBorder="1"/>
    <xf numFmtId="0" fontId="3" fillId="0" borderId="0" xfId="0" applyFont="1"/>
    <xf numFmtId="4" fontId="3" fillId="0" borderId="0" xfId="0" applyNumberFormat="1" applyFont="1"/>
    <xf numFmtId="1" fontId="1" fillId="0" borderId="0" xfId="0" applyNumberFormat="1" applyFont="1" applyBorder="1"/>
    <xf numFmtId="0" fontId="1" fillId="0" borderId="3" xfId="0" applyFont="1" applyFill="1" applyBorder="1" applyAlignment="1">
      <alignment horizontal="center"/>
    </xf>
    <xf numFmtId="9" fontId="0" fillId="0" borderId="0" xfId="0" applyNumberFormat="1"/>
    <xf numFmtId="9" fontId="1" fillId="0" borderId="0" xfId="1" applyFont="1" applyFill="1" applyBorder="1"/>
    <xf numFmtId="9" fontId="0" fillId="0" borderId="0" xfId="1" applyFont="1" applyBorder="1"/>
    <xf numFmtId="9" fontId="0" fillId="4" borderId="0" xfId="1" applyFont="1" applyFill="1" applyBorder="1"/>
    <xf numFmtId="9" fontId="7" fillId="0" borderId="0" xfId="1" applyFont="1" applyBorder="1"/>
    <xf numFmtId="9" fontId="1" fillId="0" borderId="1" xfId="1" applyFont="1" applyBorder="1"/>
    <xf numFmtId="0" fontId="1" fillId="2" borderId="0" xfId="0" applyFont="1" applyFill="1"/>
    <xf numFmtId="4" fontId="0" fillId="0" borderId="0" xfId="0" applyNumberFormat="1" applyFont="1"/>
    <xf numFmtId="3" fontId="0" fillId="0" borderId="0" xfId="0" applyNumberFormat="1"/>
    <xf numFmtId="3" fontId="1" fillId="0" borderId="0" xfId="0" applyNumberFormat="1" applyFont="1" applyBorder="1"/>
    <xf numFmtId="3" fontId="0" fillId="0" borderId="0" xfId="0" applyNumberFormat="1" applyBorder="1"/>
    <xf numFmtId="3" fontId="1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" fontId="0" fillId="0" borderId="0" xfId="0" applyNumberFormat="1"/>
    <xf numFmtId="9" fontId="1" fillId="0" borderId="1" xfId="0" applyNumberFormat="1" applyFont="1" applyBorder="1"/>
    <xf numFmtId="2" fontId="0" fillId="0" borderId="0" xfId="0" applyNumberFormat="1"/>
    <xf numFmtId="164" fontId="0" fillId="0" borderId="0" xfId="0" applyNumberFormat="1"/>
    <xf numFmtId="10" fontId="0" fillId="0" borderId="0" xfId="1" applyNumberFormat="1" applyFont="1" applyBorder="1"/>
    <xf numFmtId="0" fontId="0" fillId="4" borderId="0" xfId="0" applyFont="1" applyFill="1"/>
    <xf numFmtId="164" fontId="1" fillId="4" borderId="0" xfId="0" applyNumberFormat="1" applyFont="1" applyFill="1" applyBorder="1" applyAlignment="1">
      <alignment horizontal="center"/>
    </xf>
    <xf numFmtId="9" fontId="0" fillId="0" borderId="0" xfId="1" applyFont="1"/>
    <xf numFmtId="0" fontId="0" fillId="4" borderId="0" xfId="0" applyFill="1"/>
    <xf numFmtId="9" fontId="0" fillId="4" borderId="0" xfId="1" applyFont="1" applyFill="1"/>
    <xf numFmtId="9" fontId="0" fillId="0" borderId="0" xfId="1" applyNumberFormat="1" applyFont="1" applyBorder="1"/>
    <xf numFmtId="0" fontId="8" fillId="0" borderId="0" xfId="2"/>
    <xf numFmtId="10" fontId="0" fillId="0" borderId="0" xfId="0" applyNumberFormat="1"/>
    <xf numFmtId="10" fontId="0" fillId="0" borderId="0" xfId="1" applyNumberFormat="1" applyFont="1"/>
    <xf numFmtId="14" fontId="0" fillId="0" borderId="0" xfId="0" applyNumberFormat="1"/>
    <xf numFmtId="9" fontId="0" fillId="0" borderId="0" xfId="1" applyFont="1" applyAlignment="1">
      <alignment horizontal="center"/>
    </xf>
    <xf numFmtId="0" fontId="1" fillId="0" borderId="1" xfId="0" applyFont="1" applyBorder="1"/>
    <xf numFmtId="165" fontId="1" fillId="5" borderId="0" xfId="0" applyNumberFormat="1" applyFont="1" applyFill="1"/>
    <xf numFmtId="0" fontId="0" fillId="0" borderId="1" xfId="0" applyBorder="1"/>
    <xf numFmtId="1" fontId="0" fillId="0" borderId="2" xfId="0" applyNumberFormat="1" applyBorder="1"/>
    <xf numFmtId="0" fontId="1" fillId="6" borderId="1" xfId="0" applyFont="1" applyFill="1" applyBorder="1"/>
    <xf numFmtId="1" fontId="1" fillId="5" borderId="0" xfId="1" applyNumberFormat="1" applyFont="1" applyFill="1"/>
    <xf numFmtId="1" fontId="1" fillId="5" borderId="0" xfId="0" applyNumberFormat="1" applyFont="1" applyFill="1"/>
    <xf numFmtId="0" fontId="9" fillId="0" borderId="0" xfId="0" applyFont="1"/>
    <xf numFmtId="9" fontId="0" fillId="0" borderId="1" xfId="0" applyNumberFormat="1" applyBorder="1"/>
    <xf numFmtId="1" fontId="0" fillId="5" borderId="1" xfId="0" applyNumberFormat="1" applyFill="1" applyBorder="1"/>
    <xf numFmtId="1" fontId="0" fillId="0" borderId="0" xfId="0" applyNumberFormat="1" applyBorder="1"/>
    <xf numFmtId="1" fontId="0" fillId="4" borderId="0" xfId="0" applyNumberFormat="1" applyFill="1" applyBorder="1"/>
    <xf numFmtId="1" fontId="0" fillId="4" borderId="0" xfId="0" applyNumberFormat="1" applyFill="1"/>
    <xf numFmtId="0" fontId="0" fillId="3" borderId="0" xfId="0" applyFill="1"/>
    <xf numFmtId="1" fontId="0" fillId="3" borderId="0" xfId="0" applyNumberFormat="1" applyFill="1"/>
    <xf numFmtId="1" fontId="1" fillId="0" borderId="0" xfId="0" applyNumberFormat="1" applyFont="1"/>
    <xf numFmtId="1" fontId="1" fillId="4" borderId="0" xfId="0" applyNumberFormat="1" applyFont="1" applyFill="1"/>
    <xf numFmtId="1" fontId="1" fillId="7" borderId="1" xfId="0" applyNumberFormat="1" applyFont="1" applyFill="1" applyBorder="1"/>
    <xf numFmtId="2" fontId="1" fillId="7" borderId="1" xfId="0" applyNumberFormat="1" applyFont="1" applyFill="1" applyBorder="1"/>
    <xf numFmtId="1" fontId="3" fillId="0" borderId="0" xfId="0" applyNumberFormat="1" applyFont="1"/>
    <xf numFmtId="1" fontId="3" fillId="0" borderId="0" xfId="0" applyNumberFormat="1" applyFont="1" applyBorder="1"/>
    <xf numFmtId="3" fontId="0" fillId="2" borderId="0" xfId="0" applyNumberFormat="1" applyFill="1"/>
    <xf numFmtId="3" fontId="2" fillId="0" borderId="1" xfId="0" applyNumberFormat="1" applyFont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center"/>
    </xf>
    <xf numFmtId="3" fontId="3" fillId="0" borderId="0" xfId="0" applyNumberFormat="1" applyFont="1"/>
    <xf numFmtId="3" fontId="0" fillId="5" borderId="0" xfId="0" applyNumberFormat="1" applyFill="1"/>
    <xf numFmtId="3" fontId="0" fillId="0" borderId="0" xfId="0" applyNumberFormat="1" applyFont="1" applyBorder="1"/>
    <xf numFmtId="3" fontId="3" fillId="0" borderId="0" xfId="0" applyNumberFormat="1" applyFont="1" applyBorder="1"/>
    <xf numFmtId="3" fontId="0" fillId="0" borderId="0" xfId="0" applyNumberFormat="1" applyFont="1"/>
    <xf numFmtId="3" fontId="6" fillId="0" borderId="0" xfId="0" applyNumberFormat="1" applyFont="1" applyBorder="1"/>
    <xf numFmtId="3" fontId="1" fillId="2" borderId="0" xfId="0" applyNumberFormat="1" applyFont="1" applyFill="1"/>
    <xf numFmtId="3" fontId="1" fillId="2" borderId="1" xfId="0" applyNumberFormat="1" applyFont="1" applyFill="1" applyBorder="1" applyAlignment="1">
      <alignment horizontal="center"/>
    </xf>
    <xf numFmtId="3" fontId="1" fillId="0" borderId="0" xfId="0" applyNumberFormat="1" applyFont="1" applyBorder="1" applyAlignment="1">
      <alignment horizontal="left"/>
    </xf>
    <xf numFmtId="3" fontId="2" fillId="0" borderId="0" xfId="0" applyNumberFormat="1" applyFont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left"/>
    </xf>
    <xf numFmtId="3" fontId="1" fillId="0" borderId="0" xfId="0" applyNumberFormat="1" applyFont="1"/>
    <xf numFmtId="1" fontId="0" fillId="2" borderId="0" xfId="0" applyNumberFormat="1" applyFill="1"/>
    <xf numFmtId="1" fontId="0" fillId="0" borderId="0" xfId="0" applyNumberFormat="1" applyAlignment="1">
      <alignment horizontal="center"/>
    </xf>
    <xf numFmtId="1" fontId="0" fillId="5" borderId="0" xfId="0" applyNumberFormat="1" applyFill="1"/>
    <xf numFmtId="1" fontId="1" fillId="0" borderId="0" xfId="0" applyNumberFormat="1" applyFont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3" fillId="0" borderId="2" xfId="0" applyNumberFormat="1" applyFont="1" applyBorder="1"/>
    <xf numFmtId="1" fontId="3" fillId="0" borderId="0" xfId="0" applyNumberFormat="1" applyFont="1" applyFill="1" applyBorder="1"/>
    <xf numFmtId="1" fontId="0" fillId="0" borderId="0" xfId="0" applyNumberFormat="1" applyFont="1"/>
    <xf numFmtId="1" fontId="1" fillId="2" borderId="0" xfId="0" applyNumberFormat="1" applyFont="1" applyFill="1"/>
    <xf numFmtId="1" fontId="0" fillId="0" borderId="0" xfId="1" applyNumberFormat="1" applyFont="1"/>
    <xf numFmtId="9" fontId="0" fillId="8" borderId="1" xfId="0" applyNumberFormat="1" applyFill="1" applyBorder="1"/>
    <xf numFmtId="10" fontId="0" fillId="8" borderId="1" xfId="0" applyNumberFormat="1" applyFill="1" applyBorder="1"/>
    <xf numFmtId="165" fontId="0" fillId="8" borderId="1" xfId="0" applyNumberFormat="1" applyFill="1" applyBorder="1"/>
    <xf numFmtId="1" fontId="0" fillId="4" borderId="1" xfId="0" applyNumberFormat="1" applyFill="1" applyBorder="1"/>
    <xf numFmtId="0" fontId="0" fillId="8" borderId="1" xfId="0" applyFill="1" applyBorder="1"/>
    <xf numFmtId="165" fontId="0" fillId="8" borderId="4" xfId="0" applyNumberFormat="1" applyFill="1" applyBorder="1"/>
    <xf numFmtId="0" fontId="1" fillId="0" borderId="6" xfId="0" applyFont="1" applyBorder="1" applyAlignment="1">
      <alignment horizontal="center"/>
    </xf>
    <xf numFmtId="0" fontId="1" fillId="0" borderId="5" xfId="0" applyFont="1" applyBorder="1"/>
    <xf numFmtId="1" fontId="1" fillId="0" borderId="5" xfId="0" applyNumberFormat="1" applyFont="1" applyBorder="1"/>
    <xf numFmtId="0" fontId="0" fillId="0" borderId="5" xfId="0" applyBorder="1"/>
    <xf numFmtId="9" fontId="7" fillId="0" borderId="5" xfId="1" applyFont="1" applyBorder="1"/>
    <xf numFmtId="9" fontId="0" fillId="0" borderId="5" xfId="0" applyNumberFormat="1" applyBorder="1"/>
    <xf numFmtId="0" fontId="1" fillId="0" borderId="5" xfId="0" applyFont="1" applyBorder="1" applyAlignment="1">
      <alignment horizontal="left"/>
    </xf>
    <xf numFmtId="3" fontId="1" fillId="0" borderId="5" xfId="0" applyNumberFormat="1" applyFont="1" applyBorder="1" applyAlignment="1">
      <alignment horizontal="center"/>
    </xf>
    <xf numFmtId="3" fontId="1" fillId="0" borderId="5" xfId="0" applyNumberFormat="1" applyFont="1" applyBorder="1"/>
    <xf numFmtId="3" fontId="1" fillId="0" borderId="2" xfId="0" applyNumberFormat="1" applyFont="1" applyBorder="1" applyAlignment="1">
      <alignment horizontal="left"/>
    </xf>
    <xf numFmtId="3" fontId="1" fillId="0" borderId="2" xfId="0" applyNumberFormat="1" applyFont="1" applyBorder="1"/>
    <xf numFmtId="3" fontId="1" fillId="0" borderId="5" xfId="0" applyNumberFormat="1" applyFont="1" applyBorder="1" applyAlignment="1">
      <alignment horizontal="left"/>
    </xf>
    <xf numFmtId="3" fontId="11" fillId="9" borderId="6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1" fontId="11" fillId="9" borderId="1" xfId="0" applyNumberFormat="1" applyFont="1" applyFill="1" applyBorder="1" applyAlignment="1">
      <alignment horizontal="center"/>
    </xf>
    <xf numFmtId="1" fontId="11" fillId="9" borderId="6" xfId="0" applyNumberFormat="1" applyFont="1" applyFill="1" applyBorder="1" applyAlignment="1">
      <alignment horizontal="center"/>
    </xf>
    <xf numFmtId="1" fontId="1" fillId="0" borderId="5" xfId="0" applyNumberFormat="1" applyFont="1" applyBorder="1" applyAlignment="1">
      <alignment horizontal="left"/>
    </xf>
    <xf numFmtId="1" fontId="0" fillId="0" borderId="5" xfId="0" applyNumberFormat="1" applyBorder="1"/>
    <xf numFmtId="1" fontId="1" fillId="0" borderId="2" xfId="0" applyNumberFormat="1" applyFont="1" applyBorder="1" applyAlignment="1">
      <alignment horizontal="left"/>
    </xf>
    <xf numFmtId="9" fontId="1" fillId="2" borderId="0" xfId="1" applyFont="1" applyFill="1"/>
    <xf numFmtId="0" fontId="11" fillId="9" borderId="1" xfId="0" applyFont="1" applyFill="1" applyBorder="1" applyAlignment="1">
      <alignment horizontal="center" vertical="center"/>
    </xf>
    <xf numFmtId="1" fontId="1" fillId="0" borderId="2" xfId="0" applyNumberFormat="1" applyFont="1" applyBorder="1"/>
    <xf numFmtId="0" fontId="1" fillId="0" borderId="2" xfId="0" applyFont="1" applyBorder="1"/>
    <xf numFmtId="1" fontId="1" fillId="0" borderId="7" xfId="0" applyNumberFormat="1" applyFont="1" applyBorder="1"/>
    <xf numFmtId="0" fontId="1" fillId="0" borderId="0" xfId="0" applyFont="1" applyAlignment="1">
      <alignment horizontal="center"/>
    </xf>
    <xf numFmtId="4" fontId="0" fillId="0" borderId="0" xfId="0" applyNumberFormat="1"/>
    <xf numFmtId="0" fontId="15" fillId="11" borderId="0" xfId="3" applyFont="1" applyFill="1" applyAlignment="1">
      <alignment horizontal="left" vertical="center"/>
    </xf>
    <xf numFmtId="0" fontId="16" fillId="11" borderId="0" xfId="3" applyFont="1" applyFill="1" applyAlignment="1">
      <alignment horizontal="left" vertical="center"/>
    </xf>
    <xf numFmtId="0" fontId="0" fillId="11" borderId="0" xfId="0" applyFill="1"/>
    <xf numFmtId="0" fontId="0" fillId="11" borderId="0" xfId="0" applyFill="1" applyProtection="1"/>
    <xf numFmtId="0" fontId="17" fillId="11" borderId="6" xfId="3" applyFont="1" applyFill="1" applyBorder="1" applyAlignment="1">
      <alignment horizontal="left" vertical="center"/>
    </xf>
    <xf numFmtId="0" fontId="18" fillId="11" borderId="3" xfId="2" applyFont="1" applyFill="1" applyBorder="1" applyProtection="1"/>
    <xf numFmtId="0" fontId="18" fillId="11" borderId="4" xfId="2" applyFont="1" applyFill="1" applyBorder="1" applyProtection="1"/>
    <xf numFmtId="0" fontId="17" fillId="11" borderId="0" xfId="3" applyFont="1" applyFill="1" applyBorder="1" applyAlignment="1">
      <alignment horizontal="left" vertical="center"/>
    </xf>
    <xf numFmtId="0" fontId="1" fillId="4" borderId="0" xfId="0" applyFont="1" applyFill="1"/>
    <xf numFmtId="0" fontId="0" fillId="4" borderId="8" xfId="0" applyFill="1" applyBorder="1"/>
    <xf numFmtId="3" fontId="10" fillId="4" borderId="8" xfId="0" applyNumberFormat="1" applyFont="1" applyFill="1" applyBorder="1"/>
    <xf numFmtId="3" fontId="1" fillId="4" borderId="8" xfId="0" applyNumberFormat="1" applyFont="1" applyFill="1" applyBorder="1"/>
    <xf numFmtId="0" fontId="2" fillId="4" borderId="0" xfId="0" applyFont="1" applyFill="1" applyBorder="1" applyAlignment="1">
      <alignment horizontal="left" indent="2"/>
    </xf>
    <xf numFmtId="3" fontId="0" fillId="4" borderId="0" xfId="0" applyNumberFormat="1" applyFont="1" applyFill="1" applyBorder="1"/>
    <xf numFmtId="3" fontId="13" fillId="4" borderId="0" xfId="0" applyNumberFormat="1" applyFont="1" applyFill="1" applyBorder="1"/>
    <xf numFmtId="0" fontId="0" fillId="4" borderId="0" xfId="0" applyFill="1" applyAlignment="1">
      <alignment horizontal="left" indent="2"/>
    </xf>
    <xf numFmtId="3" fontId="0" fillId="4" borderId="0" xfId="0" applyNumberFormat="1" applyFont="1" applyFill="1"/>
    <xf numFmtId="3" fontId="13" fillId="4" borderId="0" xfId="0" applyNumberFormat="1" applyFont="1" applyFill="1"/>
    <xf numFmtId="3" fontId="10" fillId="4" borderId="0" xfId="0" applyNumberFormat="1" applyFont="1" applyFill="1"/>
    <xf numFmtId="3" fontId="1" fillId="4" borderId="0" xfId="0" applyNumberFormat="1" applyFont="1" applyFill="1"/>
    <xf numFmtId="0" fontId="1" fillId="4" borderId="5" xfId="0" applyFont="1" applyFill="1" applyBorder="1"/>
    <xf numFmtId="3" fontId="10" fillId="4" borderId="5" xfId="0" applyNumberFormat="1" applyFont="1" applyFill="1" applyBorder="1"/>
    <xf numFmtId="3" fontId="1" fillId="4" borderId="5" xfId="0" applyNumberFormat="1" applyFont="1" applyFill="1" applyBorder="1"/>
    <xf numFmtId="9" fontId="13" fillId="4" borderId="0" xfId="1" applyFont="1" applyFill="1"/>
    <xf numFmtId="0" fontId="0" fillId="4" borderId="0" xfId="0" applyFill="1" applyBorder="1" applyAlignment="1">
      <alignment horizontal="left" indent="2"/>
    </xf>
    <xf numFmtId="3" fontId="0" fillId="4" borderId="0" xfId="0" applyNumberFormat="1" applyFill="1"/>
    <xf numFmtId="4" fontId="0" fillId="4" borderId="0" xfId="0" applyNumberFormat="1" applyFill="1"/>
    <xf numFmtId="0" fontId="1" fillId="4" borderId="8" xfId="0" applyFont="1" applyFill="1" applyBorder="1"/>
    <xf numFmtId="0" fontId="1" fillId="4" borderId="0" xfId="0" applyFont="1" applyFill="1" applyBorder="1" applyAlignment="1">
      <alignment horizontal="left" indent="2"/>
    </xf>
    <xf numFmtId="3" fontId="10" fillId="4" borderId="0" xfId="0" applyNumberFormat="1" applyFont="1" applyFill="1" applyBorder="1"/>
    <xf numFmtId="0" fontId="0" fillId="4" borderId="0" xfId="0" applyFill="1" applyAlignment="1">
      <alignment horizontal="left" indent="4"/>
    </xf>
    <xf numFmtId="0" fontId="1" fillId="4" borderId="2" xfId="0" applyFont="1" applyFill="1" applyBorder="1" applyAlignment="1">
      <alignment horizontal="left" indent="2"/>
    </xf>
    <xf numFmtId="3" fontId="10" fillId="4" borderId="2" xfId="0" applyNumberFormat="1" applyFont="1" applyFill="1" applyBorder="1"/>
    <xf numFmtId="0" fontId="0" fillId="4" borderId="9" xfId="0" applyFill="1" applyBorder="1"/>
    <xf numFmtId="3" fontId="10" fillId="4" borderId="9" xfId="0" applyNumberFormat="1" applyFont="1" applyFill="1" applyBorder="1"/>
    <xf numFmtId="0" fontId="0" fillId="4" borderId="0" xfId="0" applyFill="1" applyBorder="1" applyAlignment="1">
      <alignment horizontal="left" indent="4"/>
    </xf>
    <xf numFmtId="3" fontId="0" fillId="4" borderId="0" xfId="0" applyNumberFormat="1" applyFill="1" applyBorder="1"/>
    <xf numFmtId="0" fontId="0" fillId="4" borderId="9" xfId="0" applyFill="1" applyBorder="1" applyAlignment="1">
      <alignment horizontal="left" indent="2"/>
    </xf>
    <xf numFmtId="0" fontId="0" fillId="4" borderId="5" xfId="0" applyFill="1" applyBorder="1" applyAlignment="1">
      <alignment horizontal="left" indent="2"/>
    </xf>
    <xf numFmtId="164" fontId="0" fillId="4" borderId="5" xfId="0" applyNumberFormat="1" applyFill="1" applyBorder="1"/>
    <xf numFmtId="0" fontId="0" fillId="4" borderId="10" xfId="0" applyFill="1" applyBorder="1"/>
    <xf numFmtId="9" fontId="1" fillId="4" borderId="2" xfId="1" applyFont="1" applyFill="1" applyBorder="1"/>
    <xf numFmtId="0" fontId="0" fillId="4" borderId="2" xfId="0" applyFill="1" applyBorder="1"/>
    <xf numFmtId="0" fontId="12" fillId="4" borderId="0" xfId="0" applyFont="1" applyFill="1" applyBorder="1" applyAlignment="1">
      <alignment horizontal="left" indent="2"/>
    </xf>
    <xf numFmtId="0" fontId="1" fillId="4" borderId="2" xfId="0" applyFont="1" applyFill="1" applyBorder="1"/>
    <xf numFmtId="0" fontId="0" fillId="4" borderId="0" xfId="0" applyFill="1" applyBorder="1"/>
    <xf numFmtId="0" fontId="0" fillId="4" borderId="0" xfId="0" applyFont="1" applyFill="1" applyAlignment="1">
      <alignment horizontal="left" indent="2"/>
    </xf>
    <xf numFmtId="0" fontId="0" fillId="6" borderId="0" xfId="0" applyFill="1"/>
    <xf numFmtId="0" fontId="11" fillId="9" borderId="1" xfId="0" applyFont="1" applyFill="1" applyBorder="1"/>
    <xf numFmtId="0" fontId="11" fillId="9" borderId="1" xfId="0" applyFont="1" applyFill="1" applyBorder="1" applyAlignment="1">
      <alignment horizontal="center"/>
    </xf>
    <xf numFmtId="0" fontId="0" fillId="11" borderId="0" xfId="0" applyFont="1" applyFill="1" applyProtection="1"/>
    <xf numFmtId="0" fontId="1" fillId="11" borderId="0" xfId="0" applyFont="1" applyFill="1" applyProtection="1"/>
    <xf numFmtId="0" fontId="19" fillId="11" borderId="0" xfId="0" applyFont="1" applyFill="1" applyProtection="1"/>
    <xf numFmtId="0" fontId="0" fillId="10" borderId="1" xfId="0" applyFill="1" applyBorder="1"/>
    <xf numFmtId="0" fontId="0" fillId="11" borderId="0" xfId="0" applyFont="1" applyFill="1" applyAlignment="1" applyProtection="1">
      <alignment horizontal="right"/>
    </xf>
    <xf numFmtId="1" fontId="0" fillId="10" borderId="1" xfId="0" applyNumberFormat="1" applyFill="1" applyBorder="1"/>
    <xf numFmtId="1" fontId="0" fillId="11" borderId="0" xfId="0" applyNumberFormat="1" applyFill="1" applyProtection="1"/>
    <xf numFmtId="9" fontId="1" fillId="11" borderId="0" xfId="0" applyNumberFormat="1" applyFont="1" applyFill="1" applyProtection="1"/>
    <xf numFmtId="3" fontId="8" fillId="0" borderId="0" xfId="2" applyNumberFormat="1"/>
    <xf numFmtId="0" fontId="20" fillId="6" borderId="0" xfId="0" applyFont="1" applyFill="1" applyAlignment="1">
      <alignment horizontal="center"/>
    </xf>
    <xf numFmtId="0" fontId="8" fillId="6" borderId="0" xfId="2" applyFill="1" applyAlignment="1">
      <alignment horizontal="center"/>
    </xf>
  </cellXfs>
  <cellStyles count="4">
    <cellStyle name="Hyperlink" xfId="2" builtinId="8"/>
    <cellStyle name="Normal" xfId="0" builtinId="0"/>
    <cellStyle name="Normal 3" xfId="3"/>
    <cellStyle name="Percent" xfId="1" builtinId="5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Liquidity</a:t>
            </a:r>
            <a:r>
              <a:rPr lang="en-GB" baseline="0"/>
              <a:t> Ratio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'Ratio Analysis'!$B$10</c:f>
              <c:strCache>
                <c:ptCount val="1"/>
                <c:pt idx="0">
                  <c:v>current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'Ratio Analysis'!$C$9:$G$9</c:f>
              <c:strCache>
                <c:ptCount val="5"/>
                <c:pt idx="0">
                  <c:v>2019A</c:v>
                </c:pt>
                <c:pt idx="1">
                  <c:v>2020A</c:v>
                </c:pt>
                <c:pt idx="2">
                  <c:v>2021A</c:v>
                </c:pt>
                <c:pt idx="3">
                  <c:v>2022A</c:v>
                </c:pt>
                <c:pt idx="4">
                  <c:v>2023A</c:v>
                </c:pt>
              </c:strCache>
            </c:strRef>
          </c:cat>
          <c:val>
            <c:numRef>
              <c:f>'Ratio Analysis'!$C$10:$G$10</c:f>
              <c:numCache>
                <c:formatCode>0.00</c:formatCode>
                <c:ptCount val="5"/>
                <c:pt idx="0">
                  <c:v>1.6974048837740026</c:v>
                </c:pt>
                <c:pt idx="1">
                  <c:v>3.2345963075227377</c:v>
                </c:pt>
                <c:pt idx="2">
                  <c:v>3.6726715320545891</c:v>
                </c:pt>
                <c:pt idx="3">
                  <c:v>2.8259691863185323</c:v>
                </c:pt>
                <c:pt idx="4">
                  <c:v>3.7139419635857998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30-4814-84C7-29E0E0BD8693}"/>
            </c:ext>
          </c:extLst>
        </c:ser>
        <c:ser>
          <c:idx val="1"/>
          <c:order val="1"/>
          <c:tx>
            <c:strRef>
              <c:f>'Ratio Analysis'!$B$11</c:f>
              <c:strCache>
                <c:ptCount val="1"/>
                <c:pt idx="0">
                  <c:v>quick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'Ratio Analysis'!$C$9:$G$9</c:f>
              <c:strCache>
                <c:ptCount val="5"/>
                <c:pt idx="0">
                  <c:v>2019A</c:v>
                </c:pt>
                <c:pt idx="1">
                  <c:v>2020A</c:v>
                </c:pt>
                <c:pt idx="2">
                  <c:v>2021A</c:v>
                </c:pt>
                <c:pt idx="3">
                  <c:v>2022A</c:v>
                </c:pt>
                <c:pt idx="4">
                  <c:v>2023A</c:v>
                </c:pt>
              </c:strCache>
            </c:strRef>
          </c:cat>
          <c:val>
            <c:numRef>
              <c:f>'Ratio Analysis'!$C$11:$G$11</c:f>
              <c:numCache>
                <c:formatCode>0.00</c:formatCode>
                <c:ptCount val="5"/>
                <c:pt idx="0">
                  <c:v>0.38627620382746991</c:v>
                </c:pt>
                <c:pt idx="1">
                  <c:v>0.55148801322678798</c:v>
                </c:pt>
                <c:pt idx="2">
                  <c:v>1.6394458160376957</c:v>
                </c:pt>
                <c:pt idx="3">
                  <c:v>0.57473179620616199</c:v>
                </c:pt>
                <c:pt idx="4">
                  <c:v>1.5029958895985736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30-4814-84C7-29E0E0BD8693}"/>
            </c:ext>
          </c:extLst>
        </c:ser>
        <c:ser>
          <c:idx val="2"/>
          <c:order val="2"/>
          <c:tx>
            <c:strRef>
              <c:f>'Ratio Analysis'!$B$12</c:f>
              <c:strCache>
                <c:ptCount val="1"/>
                <c:pt idx="0">
                  <c:v>cash 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'Ratio Analysis'!$C$9:$G$9</c:f>
              <c:strCache>
                <c:ptCount val="5"/>
                <c:pt idx="0">
                  <c:v>2019A</c:v>
                </c:pt>
                <c:pt idx="1">
                  <c:v>2020A</c:v>
                </c:pt>
                <c:pt idx="2">
                  <c:v>2021A</c:v>
                </c:pt>
                <c:pt idx="3">
                  <c:v>2022A</c:v>
                </c:pt>
                <c:pt idx="4">
                  <c:v>2023A</c:v>
                </c:pt>
              </c:strCache>
            </c:strRef>
          </c:cat>
          <c:val>
            <c:numRef>
              <c:f>'Ratio Analysis'!$C$12:$G$12</c:f>
              <c:numCache>
                <c:formatCode>0.00</c:formatCode>
                <c:ptCount val="5"/>
                <c:pt idx="0">
                  <c:v>0.1018648322629017</c:v>
                </c:pt>
                <c:pt idx="1">
                  <c:v>0.14586662992560287</c:v>
                </c:pt>
                <c:pt idx="2">
                  <c:v>0.17318248822088014</c:v>
                </c:pt>
                <c:pt idx="3">
                  <c:v>7.8076648417048075E-2</c:v>
                </c:pt>
                <c:pt idx="4">
                  <c:v>0.1412055814207146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30-4814-84C7-29E0E0BD8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973055"/>
        <c:axId val="385973887"/>
      </c:lineChart>
      <c:catAx>
        <c:axId val="38597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973887"/>
        <c:crosses val="autoZero"/>
        <c:auto val="1"/>
        <c:lblAlgn val="ctr"/>
        <c:lblOffset val="100"/>
        <c:noMultiLvlLbl val="0"/>
      </c:catAx>
      <c:valAx>
        <c:axId val="38597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97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Activity</a:t>
            </a:r>
            <a:r>
              <a:rPr lang="en-GB" baseline="0"/>
              <a:t> Ratio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'Ratio Analysis'!$B$21</c:f>
              <c:strCache>
                <c:ptCount val="1"/>
                <c:pt idx="0">
                  <c:v>Accounts payable turnover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'Ratio Analysis'!$C$21:$G$21</c:f>
              <c:numCache>
                <c:formatCode>0.00</c:formatCode>
                <c:ptCount val="5"/>
                <c:pt idx="0">
                  <c:v>36.69747663349667</c:v>
                </c:pt>
                <c:pt idx="1">
                  <c:v>47.066932821839593</c:v>
                </c:pt>
                <c:pt idx="2">
                  <c:v>40.638763123035254</c:v>
                </c:pt>
                <c:pt idx="3">
                  <c:v>45.226953817686514</c:v>
                </c:pt>
                <c:pt idx="4">
                  <c:v>54.18350099405059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3-4295-9144-91E55E83EE69}"/>
            </c:ext>
          </c:extLst>
        </c:ser>
        <c:ser>
          <c:idx val="1"/>
          <c:order val="1"/>
          <c:tx>
            <c:strRef>
              <c:f>'Ratio Analysis'!$B$22</c:f>
              <c:strCache>
                <c:ptCount val="1"/>
                <c:pt idx="0">
                  <c:v>Account inventory turnover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'Ratio Analysis'!$C$22:$G$22</c:f>
              <c:numCache>
                <c:formatCode>0.00</c:formatCode>
                <c:ptCount val="5"/>
                <c:pt idx="0">
                  <c:v>10.568389643489882</c:v>
                </c:pt>
                <c:pt idx="1">
                  <c:v>11.86874762728308</c:v>
                </c:pt>
                <c:pt idx="2">
                  <c:v>9.7980208214163138</c:v>
                </c:pt>
                <c:pt idx="3">
                  <c:v>10.578123559890519</c:v>
                </c:pt>
                <c:pt idx="4">
                  <c:v>12.156063840805594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F3-4295-9144-91E55E83EE69}"/>
            </c:ext>
          </c:extLst>
        </c:ser>
        <c:ser>
          <c:idx val="2"/>
          <c:order val="2"/>
          <c:tx>
            <c:strRef>
              <c:f>'Ratio Analysis'!$B$23</c:f>
              <c:strCache>
                <c:ptCount val="1"/>
                <c:pt idx="0">
                  <c:v>Accounts receivable turnover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'Ratio Analysis'!$C$23:$G$23</c:f>
              <c:numCache>
                <c:formatCode>0.00</c:formatCode>
                <c:ptCount val="5"/>
                <c:pt idx="0">
                  <c:v>311.52508932732638</c:v>
                </c:pt>
                <c:pt idx="1">
                  <c:v>594.14180171592</c:v>
                </c:pt>
                <c:pt idx="2">
                  <c:v>771.08411214953276</c:v>
                </c:pt>
                <c:pt idx="3">
                  <c:v>562.93581967955106</c:v>
                </c:pt>
                <c:pt idx="4">
                  <c:v>665.92638512204553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F3-4295-9144-91E55E83E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678863"/>
        <c:axId val="432674703"/>
      </c:lineChart>
      <c:catAx>
        <c:axId val="432678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74703"/>
        <c:crosses val="autoZero"/>
        <c:auto val="1"/>
        <c:lblAlgn val="ctr"/>
        <c:lblOffset val="100"/>
        <c:noMultiLvlLbl val="0"/>
      </c:catAx>
      <c:valAx>
        <c:axId val="43267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7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Profitability</a:t>
            </a:r>
            <a:r>
              <a:rPr lang="en-GB" baseline="0"/>
              <a:t> Ratio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Analysis'!$B$3</c:f>
              <c:strCache>
                <c:ptCount val="1"/>
                <c:pt idx="0">
                  <c:v>Gross profit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'Ratio Analysis'!$C$3:$G$3</c:f>
              <c:numCache>
                <c:formatCode>0%</c:formatCode>
                <c:ptCount val="5"/>
                <c:pt idx="0">
                  <c:v>0.15219916151653101</c:v>
                </c:pt>
                <c:pt idx="1">
                  <c:v>0.15351908669769471</c:v>
                </c:pt>
                <c:pt idx="2">
                  <c:v>0.15549315981950157</c:v>
                </c:pt>
                <c:pt idx="3">
                  <c:v>0.151038986600527</c:v>
                </c:pt>
                <c:pt idx="4">
                  <c:v>0.15324921047548337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F-4749-BFF0-D683C43687F9}"/>
            </c:ext>
          </c:extLst>
        </c:ser>
        <c:ser>
          <c:idx val="1"/>
          <c:order val="1"/>
          <c:tx>
            <c:strRef>
              <c:f>'Ratio Analysis'!$B$4</c:f>
              <c:strCache>
                <c:ptCount val="1"/>
                <c:pt idx="0">
                  <c:v>operating 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'Ratio Analysis'!$C$4:$G$4</c:f>
              <c:numCache>
                <c:formatCode>0%</c:formatCode>
                <c:ptCount val="5"/>
                <c:pt idx="0">
                  <c:v>7.3263827073132115E-2</c:v>
                </c:pt>
                <c:pt idx="1">
                  <c:v>7.2758771593798593E-2</c:v>
                </c:pt>
                <c:pt idx="2">
                  <c:v>6.266005512901579E-2</c:v>
                </c:pt>
                <c:pt idx="3">
                  <c:v>6.8113666536308334E-2</c:v>
                </c:pt>
                <c:pt idx="4">
                  <c:v>7.2785200458936522E-2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AF-4749-BFF0-D683C43687F9}"/>
            </c:ext>
          </c:extLst>
        </c:ser>
        <c:ser>
          <c:idx val="2"/>
          <c:order val="2"/>
          <c:tx>
            <c:strRef>
              <c:f>'Ratio Analysis'!$B$5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'Ratio Analysis'!$C$5:$G$5</c:f>
              <c:numCache>
                <c:formatCode>0%</c:formatCode>
                <c:ptCount val="5"/>
                <c:pt idx="0">
                  <c:v>4.5004031841826067E-2</c:v>
                </c:pt>
                <c:pt idx="1">
                  <c:v>5.2184921173886026E-2</c:v>
                </c:pt>
                <c:pt idx="2">
                  <c:v>4.5171034299714002E-2</c:v>
                </c:pt>
                <c:pt idx="3">
                  <c:v>4.799676848345142E-2</c:v>
                </c:pt>
                <c:pt idx="4">
                  <c:v>5.5350264959074996E-2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AF-4749-BFF0-D683C43687F9}"/>
            </c:ext>
          </c:extLst>
        </c:ser>
        <c:ser>
          <c:idx val="3"/>
          <c:order val="3"/>
          <c:tx>
            <c:strRef>
              <c:f>'Ratio Analysis'!$B$6</c:f>
              <c:strCache>
                <c:ptCount val="1"/>
                <c:pt idx="0">
                  <c:v>return on asset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'Ratio Analysis'!$C$6:$G$6</c:f>
              <c:numCache>
                <c:formatCode>0%</c:formatCode>
                <c:ptCount val="5"/>
                <c:pt idx="0">
                  <c:v>0.13309448313544656</c:v>
                </c:pt>
                <c:pt idx="1">
                  <c:v>0.14175735998157277</c:v>
                </c:pt>
                <c:pt idx="2">
                  <c:v>8.7850119358818549E-2</c:v>
                </c:pt>
                <c:pt idx="3">
                  <c:v>0.10514001489910284</c:v>
                </c:pt>
                <c:pt idx="4">
                  <c:v>0.14477720941307651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AF-4749-BFF0-D683C43687F9}"/>
            </c:ext>
          </c:extLst>
        </c:ser>
        <c:ser>
          <c:idx val="4"/>
          <c:order val="4"/>
          <c:tx>
            <c:strRef>
              <c:f>'Ratio Analysis'!$B$7</c:f>
              <c:strCache>
                <c:ptCount val="1"/>
                <c:pt idx="0">
                  <c:v>return on equity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'Ratio Analysis'!$C$7:$G$7</c:f>
              <c:numCache>
                <c:formatCode>0%</c:formatCode>
                <c:ptCount val="5"/>
                <c:pt idx="0">
                  <c:v>0.16151553928894194</c:v>
                </c:pt>
                <c:pt idx="1">
                  <c:v>0.11741972284548211</c:v>
                </c:pt>
                <c:pt idx="2">
                  <c:v>9.0237702637374004E-2</c:v>
                </c:pt>
                <c:pt idx="3">
                  <c:v>0.10911239073407418</c:v>
                </c:pt>
                <c:pt idx="4">
                  <c:v>0.14791867501725869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AF-4749-BFF0-D683C4368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866911"/>
        <c:axId val="442867743"/>
      </c:barChart>
      <c:catAx>
        <c:axId val="442866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867743"/>
        <c:crosses val="autoZero"/>
        <c:auto val="1"/>
        <c:lblAlgn val="ctr"/>
        <c:lblOffset val="100"/>
        <c:noMultiLvlLbl val="0"/>
      </c:catAx>
      <c:valAx>
        <c:axId val="44286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86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layout>
        <c:manualLayout>
          <c:xMode val="edge"/>
          <c:yMode val="edge"/>
          <c:x val="0.41476541994750654"/>
          <c:y val="2.84697508896797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IS!$C$2:$L$2</c:f>
              <c:strCache>
                <c:ptCount val="10"/>
                <c:pt idx="0">
                  <c:v>2019A</c:v>
                </c:pt>
                <c:pt idx="1">
                  <c:v>2020A</c:v>
                </c:pt>
                <c:pt idx="2">
                  <c:v>2021A</c:v>
                </c:pt>
                <c:pt idx="3">
                  <c:v>2022A</c:v>
                </c:pt>
                <c:pt idx="4">
                  <c:v>2023A</c:v>
                </c:pt>
                <c:pt idx="5">
                  <c:v>2024E</c:v>
                </c:pt>
                <c:pt idx="6">
                  <c:v>2025E</c:v>
                </c:pt>
                <c:pt idx="7">
                  <c:v>2026E</c:v>
                </c:pt>
                <c:pt idx="8">
                  <c:v>2027E</c:v>
                </c:pt>
                <c:pt idx="9">
                  <c:v>2028E</c:v>
                </c:pt>
              </c:strCache>
            </c:strRef>
          </c:cat>
          <c:val>
            <c:numRef>
              <c:f>IS!$C$3:$L$3</c:f>
              <c:numCache>
                <c:formatCode>0</c:formatCode>
                <c:ptCount val="10"/>
                <c:pt idx="0">
                  <c:v>20052.87</c:v>
                </c:pt>
                <c:pt idx="1">
                  <c:v>24930.190000000002</c:v>
                </c:pt>
                <c:pt idx="2">
                  <c:v>24339.27</c:v>
                </c:pt>
                <c:pt idx="3">
                  <c:v>31093.760000000002</c:v>
                </c:pt>
                <c:pt idx="4">
                  <c:v>42968.899999999994</c:v>
                </c:pt>
                <c:pt idx="5">
                  <c:v>52027.851183004706</c:v>
                </c:pt>
                <c:pt idx="6">
                  <c:v>62938.314169577025</c:v>
                </c:pt>
                <c:pt idx="7">
                  <c:v>72379.061295013569</c:v>
                </c:pt>
                <c:pt idx="8">
                  <c:v>83235.920489265598</c:v>
                </c:pt>
                <c:pt idx="9">
                  <c:v>95721.308562655438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A-4BEE-929D-3129FD38E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668047"/>
        <c:axId val="432672207"/>
      </c:barChart>
      <c:catAx>
        <c:axId val="43266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72207"/>
        <c:crosses val="autoZero"/>
        <c:auto val="1"/>
        <c:lblAlgn val="ctr"/>
        <c:lblOffset val="100"/>
        <c:noMultiLvlLbl val="0"/>
      </c:catAx>
      <c:valAx>
        <c:axId val="43267220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6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561975</xdr:colOff>
      <xdr:row>10</xdr:row>
      <xdr:rowOff>180975</xdr:rowOff>
    </xdr:to>
    <xdr:pic>
      <xdr:nvPicPr>
        <xdr:cNvPr id="2" name="Picture 1" descr="DMART Stock Price and Chart — NSE:DMART — TradingVie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375"/>
          <a:ext cx="1781175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19049</xdr:rowOff>
    </xdr:from>
    <xdr:to>
      <xdr:col>7</xdr:col>
      <xdr:colOff>0</xdr:colOff>
      <xdr:row>14</xdr:row>
      <xdr:rowOff>180974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180975</xdr:rowOff>
    </xdr:from>
    <xdr:to>
      <xdr:col>13</xdr:col>
      <xdr:colOff>600075</xdr:colOff>
      <xdr:row>14</xdr:row>
      <xdr:rowOff>180975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1</xdr:rowOff>
    </xdr:from>
    <xdr:to>
      <xdr:col>7</xdr:col>
      <xdr:colOff>0</xdr:colOff>
      <xdr:row>31</xdr:row>
      <xdr:rowOff>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14</xdr:col>
      <xdr:colOff>0</xdr:colOff>
      <xdr:row>31</xdr:row>
      <xdr:rowOff>9525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in.investing.com/rates-bonds/india-10-year-bond-yield-historical-data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-0.249977111117893"/>
    <pageSetUpPr fitToPage="1"/>
  </sheetPr>
  <dimension ref="A1:N20"/>
  <sheetViews>
    <sheetView showGridLines="0" tabSelected="1" workbookViewId="0">
      <selection sqref="A1:N16"/>
    </sheetView>
  </sheetViews>
  <sheetFormatPr defaultRowHeight="15" x14ac:dyDescent="0.25"/>
  <cols>
    <col min="4" max="4" width="22.5703125" bestFit="1" customWidth="1"/>
  </cols>
  <sheetData>
    <row r="1" spans="1:14" ht="26.25" x14ac:dyDescent="0.25">
      <c r="A1" s="127" t="s">
        <v>397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</row>
    <row r="2" spans="1:14" ht="19.5" x14ac:dyDescent="0.25">
      <c r="A2" s="129"/>
      <c r="B2" s="130"/>
      <c r="C2" s="130"/>
      <c r="D2" s="131" t="s">
        <v>399</v>
      </c>
      <c r="E2" s="130"/>
      <c r="F2" s="179" t="s">
        <v>414</v>
      </c>
      <c r="G2" s="130"/>
      <c r="H2" s="130"/>
      <c r="I2" s="181">
        <v>3751</v>
      </c>
      <c r="J2" s="130"/>
      <c r="K2" s="130"/>
      <c r="L2" s="130"/>
      <c r="M2" s="130"/>
      <c r="N2" s="130"/>
    </row>
    <row r="3" spans="1:14" ht="15.75" x14ac:dyDescent="0.25">
      <c r="A3" s="130"/>
      <c r="B3" s="130"/>
      <c r="C3" s="130"/>
      <c r="D3" s="132" t="s">
        <v>401</v>
      </c>
      <c r="E3" s="130"/>
      <c r="F3" s="179" t="s">
        <v>415</v>
      </c>
      <c r="G3" s="130"/>
      <c r="H3" s="130"/>
      <c r="I3" s="130"/>
      <c r="J3" s="130"/>
      <c r="K3" s="130"/>
      <c r="L3" s="130"/>
      <c r="M3" s="130"/>
      <c r="N3" s="130"/>
    </row>
    <row r="4" spans="1:14" x14ac:dyDescent="0.25">
      <c r="A4" s="130"/>
      <c r="B4" s="130"/>
      <c r="C4" s="130"/>
      <c r="D4" s="132" t="s">
        <v>402</v>
      </c>
      <c r="E4" s="130"/>
      <c r="F4" s="130" t="s">
        <v>398</v>
      </c>
      <c r="G4" s="130"/>
      <c r="H4" s="130"/>
      <c r="I4" s="130">
        <v>459</v>
      </c>
      <c r="J4" s="130"/>
      <c r="K4" s="130"/>
      <c r="L4" s="130"/>
      <c r="M4" s="130"/>
      <c r="N4" s="130"/>
    </row>
    <row r="5" spans="1:14" x14ac:dyDescent="0.25">
      <c r="A5" s="130"/>
      <c r="B5" s="130"/>
      <c r="C5" s="130"/>
      <c r="D5" s="132" t="s">
        <v>403</v>
      </c>
      <c r="E5" s="130"/>
      <c r="F5" s="130" t="s">
        <v>246</v>
      </c>
      <c r="G5" s="130"/>
      <c r="H5" s="130"/>
      <c r="I5" s="130">
        <v>1059</v>
      </c>
      <c r="J5" s="130"/>
      <c r="K5" s="130"/>
      <c r="L5" s="130"/>
      <c r="M5" s="130"/>
      <c r="N5" s="130"/>
    </row>
    <row r="6" spans="1:14" x14ac:dyDescent="0.25">
      <c r="A6" s="130"/>
      <c r="B6" s="130"/>
      <c r="C6" s="130"/>
      <c r="D6" s="132" t="s">
        <v>404</v>
      </c>
      <c r="E6" s="130"/>
      <c r="F6" s="130" t="s">
        <v>416</v>
      </c>
      <c r="G6" s="130"/>
      <c r="H6" s="130"/>
      <c r="I6" s="130" t="s">
        <v>424</v>
      </c>
      <c r="J6" s="130"/>
      <c r="K6" s="130"/>
      <c r="L6" s="130"/>
      <c r="M6" s="130"/>
      <c r="N6" s="130"/>
    </row>
    <row r="7" spans="1:14" x14ac:dyDescent="0.25">
      <c r="A7" s="130"/>
      <c r="B7" s="130"/>
      <c r="C7" s="130"/>
      <c r="D7" s="132" t="s">
        <v>405</v>
      </c>
      <c r="E7" s="130"/>
      <c r="F7" s="130" t="s">
        <v>417</v>
      </c>
      <c r="G7" s="130"/>
      <c r="H7" s="130"/>
      <c r="I7" s="130" t="s">
        <v>425</v>
      </c>
      <c r="J7" s="130"/>
      <c r="K7" s="130"/>
      <c r="L7" s="130"/>
      <c r="M7" s="130"/>
      <c r="N7" s="130"/>
    </row>
    <row r="8" spans="1:14" x14ac:dyDescent="0.25">
      <c r="A8" s="130"/>
      <c r="B8" s="130"/>
      <c r="C8" s="130"/>
      <c r="D8" s="132" t="s">
        <v>406</v>
      </c>
      <c r="E8" s="130"/>
      <c r="F8" s="130" t="s">
        <v>427</v>
      </c>
      <c r="G8" s="130"/>
      <c r="H8" s="130"/>
      <c r="I8" s="183">
        <f>'Relative valuation'!I25</f>
        <v>2039.9338808661091</v>
      </c>
      <c r="J8" s="130"/>
      <c r="K8" s="130"/>
      <c r="L8" s="130"/>
      <c r="M8" s="130"/>
      <c r="N8" s="130"/>
    </row>
    <row r="9" spans="1:14" x14ac:dyDescent="0.25">
      <c r="A9" s="130"/>
      <c r="B9" s="130"/>
      <c r="C9" s="130"/>
      <c r="D9" s="132" t="s">
        <v>407</v>
      </c>
      <c r="E9" s="130"/>
      <c r="F9" s="130"/>
      <c r="G9" s="130"/>
      <c r="H9" s="130"/>
      <c r="I9" s="130"/>
      <c r="J9" s="130"/>
      <c r="K9" s="130"/>
      <c r="L9" s="130"/>
      <c r="M9" s="130"/>
      <c r="N9" s="130"/>
    </row>
    <row r="10" spans="1:14" x14ac:dyDescent="0.25">
      <c r="A10" s="130"/>
      <c r="B10" s="130"/>
      <c r="C10" s="130"/>
      <c r="D10" s="132" t="s">
        <v>408</v>
      </c>
      <c r="E10" s="130"/>
      <c r="F10" s="178" t="s">
        <v>426</v>
      </c>
      <c r="G10" s="130"/>
      <c r="H10" s="130"/>
      <c r="I10" s="178" t="str">
        <f>IF(I2&lt;I8,"BUY","SELL")</f>
        <v>SELL</v>
      </c>
      <c r="J10" s="130"/>
      <c r="K10" s="130"/>
      <c r="L10" s="130"/>
      <c r="M10" s="130"/>
      <c r="N10" s="130"/>
    </row>
    <row r="11" spans="1:14" x14ac:dyDescent="0.25">
      <c r="A11" s="130"/>
      <c r="B11" s="130"/>
      <c r="C11" s="130"/>
      <c r="D11" s="133" t="s">
        <v>400</v>
      </c>
      <c r="E11" s="130"/>
      <c r="F11" s="130"/>
      <c r="G11" s="130"/>
      <c r="H11" s="130"/>
      <c r="I11" s="130"/>
      <c r="J11" s="178" t="s">
        <v>431</v>
      </c>
      <c r="K11" s="130"/>
      <c r="L11" s="184">
        <v>0.1</v>
      </c>
      <c r="M11" s="130"/>
      <c r="N11" s="130"/>
    </row>
    <row r="12" spans="1:14" ht="19.5" x14ac:dyDescent="0.25">
      <c r="A12" s="134" t="s">
        <v>409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</row>
    <row r="13" spans="1:14" x14ac:dyDescent="0.25">
      <c r="A13" s="177" t="s">
        <v>411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</row>
    <row r="14" spans="1:14" x14ac:dyDescent="0.25">
      <c r="A14" s="177" t="s">
        <v>412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</row>
    <row r="15" spans="1:14" x14ac:dyDescent="0.25">
      <c r="A15" s="177" t="s">
        <v>413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</row>
    <row r="16" spans="1:14" x14ac:dyDescent="0.25">
      <c r="A16" s="130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</row>
    <row r="17" spans="1:14" x14ac:dyDescent="0.25">
      <c r="A17" s="130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</row>
    <row r="18" spans="1:14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</row>
    <row r="19" spans="1:14" x14ac:dyDescent="0.25">
      <c r="A19" s="130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</row>
    <row r="20" spans="1:14" x14ac:dyDescent="0.25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</row>
  </sheetData>
  <hyperlinks>
    <hyperlink ref="D3" location="Assumptions!A1" display="Assumption"/>
    <hyperlink ref="D4" location="IS!A1" display="Income statement"/>
    <hyperlink ref="D5" location="BS!A1" display="Balance sheet"/>
    <hyperlink ref="D6" location="CF!A1" display="Cash flow statement"/>
    <hyperlink ref="D7" location="DCF!A1" display="DCF"/>
    <hyperlink ref="D8" location="'Residual income'!A1" display="Residual income"/>
    <hyperlink ref="D9" location="'Relative valuation'!A1" display="Relative valuation"/>
    <hyperlink ref="D10" location="'Ratio Analysis'!A1" display="Ratio analysis"/>
    <hyperlink ref="D11" location="Charts!A1" display="Charts"/>
  </hyperlinks>
  <pageMargins left="0.7" right="0.7" top="0.75" bottom="0.75" header="0.3" footer="0.3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1"/>
  <sheetViews>
    <sheetView showGridLines="0" workbookViewId="0">
      <selection activeCell="N1" sqref="N1"/>
    </sheetView>
  </sheetViews>
  <sheetFormatPr defaultRowHeight="15" x14ac:dyDescent="0.25"/>
  <cols>
    <col min="2" max="2" width="39.85546875" bestFit="1" customWidth="1"/>
  </cols>
  <sheetData>
    <row r="1" spans="1:17" x14ac:dyDescent="0.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432</v>
      </c>
      <c r="O1" s="36"/>
      <c r="P1" s="174"/>
      <c r="Q1" s="174"/>
    </row>
    <row r="2" spans="1:17" x14ac:dyDescent="0.25">
      <c r="A2" s="135" t="s">
        <v>259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174"/>
      <c r="Q2" s="174"/>
    </row>
    <row r="3" spans="1:17" x14ac:dyDescent="0.25">
      <c r="A3" s="36"/>
      <c r="B3" s="36" t="s">
        <v>260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174"/>
      <c r="Q3" s="174"/>
    </row>
    <row r="4" spans="1:17" x14ac:dyDescent="0.25">
      <c r="A4" s="36"/>
      <c r="B4" s="36" t="s">
        <v>261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174"/>
      <c r="Q4" s="174"/>
    </row>
    <row r="5" spans="1:17" x14ac:dyDescent="0.25">
      <c r="A5" s="36"/>
      <c r="B5" s="36" t="s">
        <v>262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174"/>
      <c r="Q5" s="174"/>
    </row>
    <row r="6" spans="1:17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174"/>
      <c r="Q6" s="174"/>
    </row>
    <row r="7" spans="1:17" ht="15.75" thickBot="1" x14ac:dyDescent="0.3">
      <c r="A7" s="135" t="s">
        <v>263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174"/>
      <c r="Q7" s="174"/>
    </row>
    <row r="8" spans="1:17" ht="15.75" thickBot="1" x14ac:dyDescent="0.3">
      <c r="A8" s="136" t="s">
        <v>11</v>
      </c>
      <c r="B8" s="137"/>
      <c r="C8" s="137"/>
      <c r="D8" s="137"/>
      <c r="E8" s="137"/>
      <c r="F8" s="137"/>
      <c r="G8" s="138"/>
      <c r="H8" s="138"/>
      <c r="I8" s="138"/>
      <c r="J8" s="138"/>
      <c r="K8" s="138"/>
      <c r="L8" s="36"/>
      <c r="M8" s="36"/>
      <c r="N8" s="36"/>
      <c r="O8" s="36"/>
      <c r="P8" s="174"/>
      <c r="Q8" s="174"/>
    </row>
    <row r="9" spans="1:17" x14ac:dyDescent="0.25">
      <c r="A9" s="139" t="s">
        <v>269</v>
      </c>
      <c r="B9" s="140" t="s">
        <v>275</v>
      </c>
      <c r="C9" s="141"/>
      <c r="D9" s="141"/>
      <c r="E9" s="141"/>
      <c r="F9" s="141"/>
      <c r="G9" s="140"/>
      <c r="H9" s="140"/>
      <c r="I9" s="140"/>
      <c r="J9" s="140"/>
      <c r="K9" s="140"/>
      <c r="L9" s="36"/>
      <c r="M9" s="36"/>
      <c r="N9" s="36"/>
      <c r="O9" s="36"/>
      <c r="P9" s="174"/>
      <c r="Q9" s="174"/>
    </row>
    <row r="10" spans="1:17" x14ac:dyDescent="0.25">
      <c r="A10" s="142" t="s">
        <v>270</v>
      </c>
      <c r="B10" s="143" t="s">
        <v>276</v>
      </c>
      <c r="C10" s="144"/>
      <c r="D10" s="144"/>
      <c r="E10" s="144"/>
      <c r="F10" s="144"/>
      <c r="G10" s="143"/>
      <c r="H10" s="143"/>
      <c r="I10" s="143"/>
      <c r="J10" s="143"/>
      <c r="K10" s="143"/>
      <c r="L10" s="36"/>
      <c r="M10" s="36"/>
      <c r="N10" s="36"/>
      <c r="O10" s="36"/>
      <c r="P10" s="174"/>
      <c r="Q10" s="174"/>
    </row>
    <row r="11" spans="1:17" x14ac:dyDescent="0.25">
      <c r="A11" s="36" t="s">
        <v>271</v>
      </c>
      <c r="B11" s="143" t="s">
        <v>272</v>
      </c>
      <c r="C11" s="145"/>
      <c r="D11" s="145"/>
      <c r="E11" s="145"/>
      <c r="F11" s="145"/>
      <c r="G11" s="146"/>
      <c r="H11" s="146"/>
      <c r="I11" s="146"/>
      <c r="J11" s="146"/>
      <c r="K11" s="146"/>
      <c r="L11" s="36"/>
      <c r="M11" s="36"/>
      <c r="N11" s="36"/>
      <c r="O11" s="36"/>
      <c r="P11" s="174"/>
      <c r="Q11" s="174"/>
    </row>
    <row r="12" spans="1:17" x14ac:dyDescent="0.25">
      <c r="A12" s="142" t="s">
        <v>273</v>
      </c>
      <c r="B12" s="144"/>
      <c r="C12" s="144"/>
      <c r="D12" s="144"/>
      <c r="E12" s="144"/>
      <c r="F12" s="144"/>
      <c r="G12" s="33"/>
      <c r="H12" s="33"/>
      <c r="I12" s="33"/>
      <c r="J12" s="33"/>
      <c r="K12" s="33"/>
      <c r="L12" s="36"/>
      <c r="M12" s="36"/>
      <c r="N12" s="36"/>
      <c r="O12" s="36"/>
      <c r="P12" s="174"/>
      <c r="Q12" s="174"/>
    </row>
    <row r="13" spans="1:17" x14ac:dyDescent="0.25">
      <c r="A13" s="142" t="s">
        <v>274</v>
      </c>
      <c r="B13" s="144"/>
      <c r="C13" s="144"/>
      <c r="D13" s="144"/>
      <c r="E13" s="144"/>
      <c r="F13" s="143"/>
      <c r="G13" s="143"/>
      <c r="H13" s="143"/>
      <c r="I13" s="143"/>
      <c r="J13" s="143"/>
      <c r="K13" s="143"/>
      <c r="L13" s="36"/>
      <c r="M13" s="36"/>
      <c r="N13" s="36"/>
      <c r="O13" s="36"/>
      <c r="P13" s="174"/>
      <c r="Q13" s="174"/>
    </row>
    <row r="14" spans="1:17" x14ac:dyDescent="0.25">
      <c r="A14" s="147" t="s">
        <v>17</v>
      </c>
      <c r="B14" s="148"/>
      <c r="C14" s="148"/>
      <c r="D14" s="148"/>
      <c r="E14" s="148"/>
      <c r="F14" s="148"/>
      <c r="G14" s="149"/>
      <c r="H14" s="149"/>
      <c r="I14" s="149"/>
      <c r="J14" s="149"/>
      <c r="K14" s="149"/>
      <c r="L14" s="36"/>
      <c r="M14" s="36"/>
      <c r="N14" s="36"/>
      <c r="O14" s="36"/>
      <c r="P14" s="174"/>
      <c r="Q14" s="174"/>
    </row>
    <row r="15" spans="1:17" x14ac:dyDescent="0.25">
      <c r="A15" s="36" t="s">
        <v>277</v>
      </c>
      <c r="B15" s="145"/>
      <c r="C15" s="145"/>
      <c r="D15" s="145"/>
      <c r="E15" s="145"/>
      <c r="F15" s="145"/>
      <c r="G15" s="146"/>
      <c r="H15" s="146"/>
      <c r="I15" s="146"/>
      <c r="J15" s="146"/>
      <c r="K15" s="146"/>
      <c r="L15" s="36"/>
      <c r="M15" s="36"/>
      <c r="N15" s="36"/>
      <c r="O15" s="36"/>
      <c r="P15" s="174"/>
      <c r="Q15" s="174"/>
    </row>
    <row r="16" spans="1:17" x14ac:dyDescent="0.25">
      <c r="A16" s="142" t="s">
        <v>278</v>
      </c>
      <c r="B16" s="143" t="s">
        <v>272</v>
      </c>
      <c r="C16" s="144"/>
      <c r="D16" s="144"/>
      <c r="E16" s="144"/>
      <c r="F16" s="144"/>
      <c r="G16" s="143"/>
      <c r="H16" s="143"/>
      <c r="I16" s="143"/>
      <c r="J16" s="143"/>
      <c r="K16" s="143"/>
      <c r="L16" s="36"/>
      <c r="M16" s="36"/>
      <c r="N16" s="36"/>
      <c r="O16" s="36"/>
      <c r="P16" s="174"/>
      <c r="Q16" s="174"/>
    </row>
    <row r="17" spans="1:17" x14ac:dyDescent="0.25">
      <c r="A17" s="142" t="s">
        <v>279</v>
      </c>
      <c r="B17" s="143" t="s">
        <v>389</v>
      </c>
      <c r="C17" s="144"/>
      <c r="D17" s="144"/>
      <c r="E17" s="144"/>
      <c r="F17" s="144"/>
      <c r="G17" s="143"/>
      <c r="H17" s="143"/>
      <c r="I17" s="143"/>
      <c r="J17" s="143"/>
      <c r="K17" s="143"/>
      <c r="L17" s="36"/>
      <c r="M17" s="36"/>
      <c r="N17" s="36"/>
      <c r="O17" s="36"/>
      <c r="P17" s="174"/>
      <c r="Q17" s="174"/>
    </row>
    <row r="18" spans="1:17" x14ac:dyDescent="0.25">
      <c r="A18" s="147" t="s">
        <v>280</v>
      </c>
      <c r="B18" s="148"/>
      <c r="C18" s="148"/>
      <c r="D18" s="148"/>
      <c r="E18" s="148"/>
      <c r="F18" s="148"/>
      <c r="G18" s="149"/>
      <c r="H18" s="149"/>
      <c r="I18" s="149"/>
      <c r="J18" s="149"/>
      <c r="K18" s="149"/>
      <c r="L18" s="36"/>
      <c r="M18" s="36"/>
      <c r="N18" s="36"/>
      <c r="O18" s="36"/>
      <c r="P18" s="174"/>
      <c r="Q18" s="174"/>
    </row>
    <row r="19" spans="1:17" x14ac:dyDescent="0.25">
      <c r="A19" s="142" t="s">
        <v>281</v>
      </c>
      <c r="B19" s="143" t="s">
        <v>390</v>
      </c>
      <c r="C19" s="36"/>
      <c r="D19" s="144"/>
      <c r="E19" s="144"/>
      <c r="F19" s="144"/>
      <c r="G19" s="143"/>
      <c r="H19" s="143"/>
      <c r="I19" s="143"/>
      <c r="J19" s="143"/>
      <c r="K19" s="17">
        <f>BS!H98</f>
        <v>3.4390134530466486E-2</v>
      </c>
      <c r="L19" s="36"/>
      <c r="M19" s="36"/>
      <c r="N19" s="36"/>
      <c r="O19" s="36"/>
      <c r="P19" s="174"/>
      <c r="Q19" s="174"/>
    </row>
    <row r="20" spans="1:17" x14ac:dyDescent="0.25">
      <c r="A20" s="147" t="s">
        <v>282</v>
      </c>
      <c r="B20" s="148"/>
      <c r="C20" s="148"/>
      <c r="D20" s="148"/>
      <c r="E20" s="148"/>
      <c r="F20" s="148"/>
      <c r="G20" s="149"/>
      <c r="H20" s="149"/>
      <c r="I20" s="149"/>
      <c r="J20" s="149"/>
      <c r="K20" s="149"/>
      <c r="L20" s="36"/>
      <c r="M20" s="36"/>
      <c r="N20" s="36"/>
      <c r="O20" s="36"/>
      <c r="P20" s="174"/>
      <c r="Q20" s="174"/>
    </row>
    <row r="21" spans="1:17" x14ac:dyDescent="0.25">
      <c r="A21" s="142" t="s">
        <v>283</v>
      </c>
      <c r="B21" s="143" t="s">
        <v>391</v>
      </c>
      <c r="C21" s="144"/>
      <c r="D21" s="144"/>
      <c r="E21" s="144"/>
      <c r="F21" s="144"/>
      <c r="G21" s="143"/>
      <c r="H21" s="143"/>
      <c r="I21" s="143"/>
      <c r="J21" s="143"/>
      <c r="K21" s="143"/>
      <c r="L21" s="36"/>
      <c r="M21" s="36"/>
      <c r="N21" s="36"/>
      <c r="O21" s="36"/>
      <c r="P21" s="174"/>
      <c r="Q21" s="174"/>
    </row>
    <row r="22" spans="1:17" x14ac:dyDescent="0.25">
      <c r="A22" s="36" t="s">
        <v>284</v>
      </c>
      <c r="B22" s="145"/>
      <c r="C22" s="145"/>
      <c r="D22" s="145"/>
      <c r="E22" s="145"/>
      <c r="F22" s="145"/>
      <c r="G22" s="135"/>
      <c r="H22" s="135"/>
      <c r="I22" s="135"/>
      <c r="J22" s="135"/>
      <c r="K22" s="135"/>
      <c r="L22" s="36"/>
      <c r="M22" s="36"/>
      <c r="N22" s="36"/>
      <c r="O22" s="36"/>
      <c r="P22" s="174"/>
      <c r="Q22" s="174"/>
    </row>
    <row r="23" spans="1:17" x14ac:dyDescent="0.25">
      <c r="A23" s="142"/>
      <c r="B23" s="144"/>
      <c r="C23" s="144"/>
      <c r="D23" s="144"/>
      <c r="E23" s="144"/>
      <c r="F23" s="144"/>
      <c r="G23" s="143"/>
      <c r="H23" s="143"/>
      <c r="I23" s="143"/>
      <c r="J23" s="143"/>
      <c r="K23" s="143"/>
      <c r="L23" s="36"/>
      <c r="M23" s="36"/>
      <c r="N23" s="36"/>
      <c r="O23" s="36"/>
      <c r="P23" s="174"/>
      <c r="Q23" s="174"/>
    </row>
    <row r="24" spans="1:17" x14ac:dyDescent="0.25">
      <c r="A24" s="142"/>
      <c r="B24" s="144"/>
      <c r="C24" s="144"/>
      <c r="D24" s="144"/>
      <c r="E24" s="144"/>
      <c r="F24" s="144"/>
      <c r="G24" s="143"/>
      <c r="H24" s="143"/>
      <c r="I24" s="143"/>
      <c r="J24" s="143"/>
      <c r="K24" s="143"/>
      <c r="L24" s="36"/>
      <c r="M24" s="36"/>
      <c r="N24" s="36"/>
      <c r="O24" s="36"/>
      <c r="P24" s="174"/>
      <c r="Q24" s="174"/>
    </row>
    <row r="25" spans="1:17" x14ac:dyDescent="0.25">
      <c r="A25" s="147" t="s">
        <v>26</v>
      </c>
      <c r="B25" s="148"/>
      <c r="C25" s="148"/>
      <c r="D25" s="148"/>
      <c r="E25" s="148"/>
      <c r="F25" s="148"/>
      <c r="G25" s="149"/>
      <c r="H25" s="149"/>
      <c r="I25" s="149"/>
      <c r="J25" s="149"/>
      <c r="K25" s="149"/>
      <c r="L25" s="36"/>
      <c r="M25" s="36"/>
      <c r="N25" s="36"/>
      <c r="O25" s="36"/>
      <c r="P25" s="174"/>
      <c r="Q25" s="174"/>
    </row>
    <row r="26" spans="1:17" x14ac:dyDescent="0.25">
      <c r="A26" s="142" t="s">
        <v>23</v>
      </c>
      <c r="B26" s="143" t="s">
        <v>285</v>
      </c>
      <c r="C26" s="150"/>
      <c r="D26" s="144"/>
      <c r="E26" s="144"/>
      <c r="F26" s="144"/>
      <c r="G26" s="143"/>
      <c r="H26" s="143"/>
      <c r="I26" s="143"/>
      <c r="J26" s="143"/>
      <c r="K26" s="37">
        <v>0.25</v>
      </c>
      <c r="L26" s="36"/>
      <c r="M26" s="36"/>
      <c r="N26" s="36"/>
      <c r="O26" s="36"/>
      <c r="P26" s="174"/>
      <c r="Q26" s="174"/>
    </row>
    <row r="27" spans="1:17" x14ac:dyDescent="0.25">
      <c r="A27" s="147" t="s">
        <v>286</v>
      </c>
      <c r="B27" s="148"/>
      <c r="C27" s="148"/>
      <c r="D27" s="148"/>
      <c r="E27" s="148"/>
      <c r="F27" s="148"/>
      <c r="G27" s="149"/>
      <c r="H27" s="149"/>
      <c r="I27" s="149"/>
      <c r="J27" s="149"/>
      <c r="K27" s="149"/>
      <c r="L27" s="36"/>
      <c r="M27" s="36"/>
      <c r="N27" s="36"/>
      <c r="O27" s="36"/>
      <c r="P27" s="174"/>
      <c r="Q27" s="174"/>
    </row>
    <row r="28" spans="1:17" x14ac:dyDescent="0.25">
      <c r="A28" s="151" t="s">
        <v>287</v>
      </c>
      <c r="B28" s="140" t="s">
        <v>288</v>
      </c>
      <c r="C28" s="141"/>
      <c r="D28" s="141"/>
      <c r="E28" s="141"/>
      <c r="F28" s="141"/>
      <c r="G28" s="140"/>
      <c r="H28" s="140"/>
      <c r="I28" s="140"/>
      <c r="J28" s="140"/>
      <c r="K28" s="140"/>
      <c r="L28" s="36"/>
      <c r="M28" s="36"/>
      <c r="N28" s="36"/>
      <c r="O28" s="36"/>
      <c r="P28" s="174"/>
      <c r="Q28" s="174"/>
    </row>
    <row r="29" spans="1:17" x14ac:dyDescent="0.25">
      <c r="A29" s="36" t="s">
        <v>29</v>
      </c>
      <c r="B29" s="143" t="s">
        <v>289</v>
      </c>
      <c r="C29" s="145"/>
      <c r="D29" s="145"/>
      <c r="E29" s="145"/>
      <c r="F29" s="145"/>
      <c r="G29" s="146"/>
      <c r="H29" s="146"/>
      <c r="I29" s="146"/>
      <c r="J29" s="146"/>
      <c r="K29" s="146"/>
      <c r="L29" s="36"/>
      <c r="M29" s="36"/>
      <c r="N29" s="36"/>
      <c r="O29" s="36"/>
      <c r="P29" s="174"/>
      <c r="Q29" s="174"/>
    </row>
    <row r="30" spans="1:17" x14ac:dyDescent="0.25">
      <c r="A30" s="142" t="s">
        <v>290</v>
      </c>
      <c r="B30" s="145"/>
      <c r="C30" s="145"/>
      <c r="D30" s="145"/>
      <c r="E30" s="145"/>
      <c r="F30" s="145"/>
      <c r="G30" s="146"/>
      <c r="H30" s="146"/>
      <c r="I30" s="146"/>
      <c r="J30" s="146"/>
      <c r="K30" s="146"/>
      <c r="L30" s="36"/>
      <c r="M30" s="36"/>
      <c r="N30" s="36"/>
      <c r="O30" s="36"/>
      <c r="P30" s="174"/>
      <c r="Q30" s="174"/>
    </row>
    <row r="31" spans="1:17" x14ac:dyDescent="0.25">
      <c r="A31" s="142" t="s">
        <v>291</v>
      </c>
      <c r="B31" s="152" t="s">
        <v>292</v>
      </c>
      <c r="C31" s="152"/>
      <c r="D31" s="152"/>
      <c r="E31" s="153"/>
      <c r="F31" s="153"/>
      <c r="G31" s="146"/>
      <c r="H31" s="146"/>
      <c r="I31" s="146"/>
      <c r="J31" s="146"/>
      <c r="K31" s="146"/>
      <c r="L31" s="36"/>
      <c r="M31" s="36"/>
      <c r="N31" s="36"/>
      <c r="O31" s="36"/>
      <c r="P31" s="174"/>
      <c r="Q31" s="174"/>
    </row>
    <row r="32" spans="1:17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174"/>
      <c r="Q32" s="174"/>
    </row>
    <row r="33" spans="1:17" x14ac:dyDescent="0.25">
      <c r="A33" s="135" t="s">
        <v>293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174"/>
      <c r="Q33" s="174"/>
    </row>
    <row r="34" spans="1:17" ht="15.75" thickBot="1" x14ac:dyDescent="0.3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174"/>
      <c r="Q34" s="174"/>
    </row>
    <row r="35" spans="1:17" ht="15.75" thickBot="1" x14ac:dyDescent="0.3">
      <c r="A35" s="154" t="s">
        <v>294</v>
      </c>
      <c r="B35" s="137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174"/>
      <c r="Q35" s="174"/>
    </row>
    <row r="36" spans="1:17" x14ac:dyDescent="0.25">
      <c r="A36" s="155" t="s">
        <v>295</v>
      </c>
      <c r="B36" s="15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174"/>
      <c r="Q36" s="174"/>
    </row>
    <row r="37" spans="1:17" x14ac:dyDescent="0.25">
      <c r="A37" s="157" t="s">
        <v>296</v>
      </c>
      <c r="B37" s="152" t="s">
        <v>297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174"/>
      <c r="Q37" s="174"/>
    </row>
    <row r="38" spans="1:17" x14ac:dyDescent="0.25">
      <c r="A38" s="157" t="s">
        <v>298</v>
      </c>
      <c r="B38" s="56" t="s">
        <v>392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174"/>
      <c r="Q38" s="174"/>
    </row>
    <row r="39" spans="1:17" x14ac:dyDescent="0.25">
      <c r="A39" s="157" t="s">
        <v>300</v>
      </c>
      <c r="B39" s="56" t="s">
        <v>301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174"/>
      <c r="Q39" s="174"/>
    </row>
    <row r="40" spans="1:17" x14ac:dyDescent="0.25">
      <c r="A40" s="157" t="s">
        <v>302</v>
      </c>
      <c r="B40" s="152" t="s">
        <v>303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174"/>
      <c r="Q40" s="174"/>
    </row>
    <row r="41" spans="1:17" x14ac:dyDescent="0.25">
      <c r="A41" s="157" t="s">
        <v>304</v>
      </c>
      <c r="B41" s="143" t="s">
        <v>393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174"/>
      <c r="Q41" s="174"/>
    </row>
    <row r="42" spans="1:17" x14ac:dyDescent="0.25">
      <c r="A42" s="158" t="s">
        <v>305</v>
      </c>
      <c r="B42" s="159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174"/>
      <c r="Q42" s="174"/>
    </row>
    <row r="43" spans="1:17" x14ac:dyDescent="0.25">
      <c r="A43" s="157" t="s">
        <v>41</v>
      </c>
      <c r="B43" s="152" t="s">
        <v>306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174"/>
      <c r="Q43" s="174"/>
    </row>
    <row r="44" spans="1:17" x14ac:dyDescent="0.25">
      <c r="A44" s="157" t="s">
        <v>307</v>
      </c>
      <c r="B44" s="152" t="s">
        <v>392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174"/>
      <c r="Q44" s="174"/>
    </row>
    <row r="45" spans="1:17" x14ac:dyDescent="0.25">
      <c r="A45" s="157" t="s">
        <v>308</v>
      </c>
      <c r="B45" s="143" t="s">
        <v>392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174"/>
      <c r="Q45" s="174"/>
    </row>
    <row r="46" spans="1:17" x14ac:dyDescent="0.25">
      <c r="A46" s="157" t="s">
        <v>44</v>
      </c>
      <c r="B46" s="152" t="s">
        <v>392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174"/>
      <c r="Q46" s="174"/>
    </row>
    <row r="47" spans="1:17" x14ac:dyDescent="0.25">
      <c r="A47" s="157" t="s">
        <v>45</v>
      </c>
      <c r="B47" s="143" t="s">
        <v>392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174"/>
      <c r="Q47" s="174"/>
    </row>
    <row r="48" spans="1:17" x14ac:dyDescent="0.25">
      <c r="A48" s="157" t="s">
        <v>309</v>
      </c>
      <c r="B48" s="56" t="s">
        <v>392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174"/>
      <c r="Q48" s="174"/>
    </row>
    <row r="49" spans="1:17" x14ac:dyDescent="0.25">
      <c r="A49" s="157" t="s">
        <v>310</v>
      </c>
      <c r="B49" s="152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174"/>
      <c r="Q49" s="174"/>
    </row>
    <row r="50" spans="1:17" x14ac:dyDescent="0.25">
      <c r="A50" s="157" t="s">
        <v>304</v>
      </c>
      <c r="B50" s="152" t="s">
        <v>392</v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174"/>
      <c r="Q50" s="174"/>
    </row>
    <row r="51" spans="1:17" ht="15.75" thickBot="1" x14ac:dyDescent="0.3">
      <c r="A51" s="36"/>
      <c r="B51" s="144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174"/>
      <c r="Q51" s="174"/>
    </row>
    <row r="52" spans="1:17" ht="15.75" thickBot="1" x14ac:dyDescent="0.3">
      <c r="A52" s="154" t="s">
        <v>311</v>
      </c>
      <c r="B52" s="137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174"/>
      <c r="Q52" s="174"/>
    </row>
    <row r="53" spans="1:17" x14ac:dyDescent="0.25">
      <c r="A53" s="160" t="s">
        <v>312</v>
      </c>
      <c r="B53" s="161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174"/>
      <c r="Q53" s="174"/>
    </row>
    <row r="54" spans="1:17" x14ac:dyDescent="0.25">
      <c r="A54" s="158" t="s">
        <v>313</v>
      </c>
      <c r="B54" s="159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174"/>
      <c r="Q54" s="174"/>
    </row>
    <row r="55" spans="1:17" x14ac:dyDescent="0.25">
      <c r="A55" s="162" t="s">
        <v>314</v>
      </c>
      <c r="B55" s="163" t="s">
        <v>394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174"/>
      <c r="Q55" s="174"/>
    </row>
    <row r="56" spans="1:17" x14ac:dyDescent="0.25">
      <c r="A56" s="157" t="s">
        <v>315</v>
      </c>
      <c r="B56" s="144" t="s">
        <v>392</v>
      </c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174"/>
      <c r="Q56" s="174"/>
    </row>
    <row r="57" spans="1:17" x14ac:dyDescent="0.25">
      <c r="A57" s="157" t="s">
        <v>54</v>
      </c>
      <c r="B57" s="152" t="s">
        <v>316</v>
      </c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174"/>
      <c r="Q57" s="174"/>
    </row>
    <row r="58" spans="1:17" x14ac:dyDescent="0.25">
      <c r="A58" s="157" t="s">
        <v>317</v>
      </c>
      <c r="B58" s="144" t="s">
        <v>392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174"/>
      <c r="Q58" s="174"/>
    </row>
    <row r="59" spans="1:17" x14ac:dyDescent="0.25">
      <c r="A59" s="158" t="s">
        <v>56</v>
      </c>
      <c r="B59" s="159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174"/>
      <c r="Q59" s="174"/>
    </row>
    <row r="60" spans="1:17" x14ac:dyDescent="0.25">
      <c r="A60" s="162" t="s">
        <v>318</v>
      </c>
      <c r="B60" s="163" t="s">
        <v>394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174"/>
      <c r="Q60" s="174"/>
    </row>
    <row r="61" spans="1:17" x14ac:dyDescent="0.25">
      <c r="A61" s="157" t="s">
        <v>315</v>
      </c>
      <c r="B61" s="144" t="s">
        <v>392</v>
      </c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174"/>
      <c r="Q61" s="174"/>
    </row>
    <row r="62" spans="1:17" x14ac:dyDescent="0.25">
      <c r="A62" s="157" t="s">
        <v>319</v>
      </c>
      <c r="B62" s="56" t="s">
        <v>392</v>
      </c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174"/>
      <c r="Q62" s="174"/>
    </row>
    <row r="63" spans="1:17" ht="15.75" thickBot="1" x14ac:dyDescent="0.3">
      <c r="A63" s="36"/>
      <c r="B63" s="144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174"/>
      <c r="Q63" s="174"/>
    </row>
    <row r="64" spans="1:17" ht="15.75" thickBot="1" x14ac:dyDescent="0.3">
      <c r="A64" s="136" t="s">
        <v>320</v>
      </c>
      <c r="B64" s="13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174"/>
      <c r="Q64" s="174"/>
    </row>
    <row r="65" spans="1:17" x14ac:dyDescent="0.25">
      <c r="A65" s="164" t="s">
        <v>321</v>
      </c>
      <c r="B65" s="161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174"/>
      <c r="Q65" s="174"/>
    </row>
    <row r="66" spans="1:17" x14ac:dyDescent="0.25">
      <c r="A66" s="157" t="s">
        <v>322</v>
      </c>
      <c r="B66" s="152" t="s">
        <v>323</v>
      </c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174"/>
      <c r="Q66" s="174"/>
    </row>
    <row r="67" spans="1:17" x14ac:dyDescent="0.25">
      <c r="A67" s="157" t="s">
        <v>324</v>
      </c>
      <c r="B67" s="152" t="s">
        <v>325</v>
      </c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174"/>
      <c r="Q67" s="174"/>
    </row>
    <row r="68" spans="1:17" x14ac:dyDescent="0.25">
      <c r="A68" s="165" t="s">
        <v>326</v>
      </c>
      <c r="B68" s="166" t="s">
        <v>299</v>
      </c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174"/>
      <c r="Q68" s="174"/>
    </row>
    <row r="69" spans="1:17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174"/>
      <c r="Q69" s="174"/>
    </row>
    <row r="70" spans="1:17" ht="15.75" thickBot="1" x14ac:dyDescent="0.3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174"/>
      <c r="Q70" s="174"/>
    </row>
    <row r="71" spans="1:17" ht="15.75" thickBot="1" x14ac:dyDescent="0.3">
      <c r="A71" s="154" t="s">
        <v>327</v>
      </c>
      <c r="B71" s="167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174"/>
      <c r="Q71" s="174"/>
    </row>
    <row r="72" spans="1:17" x14ac:dyDescent="0.25">
      <c r="A72" s="139" t="s">
        <v>328</v>
      </c>
      <c r="B72" s="152" t="s">
        <v>329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174"/>
      <c r="Q72" s="174"/>
    </row>
    <row r="73" spans="1:17" x14ac:dyDescent="0.25">
      <c r="A73" s="142" t="s">
        <v>330</v>
      </c>
      <c r="B73" s="152" t="s">
        <v>331</v>
      </c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174"/>
      <c r="Q73" s="174"/>
    </row>
    <row r="74" spans="1:17" x14ac:dyDescent="0.25">
      <c r="A74" s="142" t="s">
        <v>332</v>
      </c>
      <c r="B74" s="152" t="s">
        <v>333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174"/>
      <c r="Q74" s="174"/>
    </row>
    <row r="75" spans="1:17" x14ac:dyDescent="0.25">
      <c r="A75" s="151" t="s">
        <v>106</v>
      </c>
      <c r="B75" s="152" t="s">
        <v>395</v>
      </c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174"/>
      <c r="Q75" s="174"/>
    </row>
    <row r="76" spans="1:17" x14ac:dyDescent="0.25">
      <c r="A76" s="151" t="s">
        <v>334</v>
      </c>
      <c r="B76" s="152" t="s">
        <v>335</v>
      </c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174"/>
      <c r="Q76" s="174"/>
    </row>
    <row r="77" spans="1:17" x14ac:dyDescent="0.25">
      <c r="A77" s="151" t="s">
        <v>336</v>
      </c>
      <c r="B77" s="152" t="s">
        <v>335</v>
      </c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174"/>
      <c r="Q77" s="174"/>
    </row>
    <row r="78" spans="1:17" x14ac:dyDescent="0.25">
      <c r="A78" s="151" t="s">
        <v>337</v>
      </c>
      <c r="B78" s="152" t="s">
        <v>335</v>
      </c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174"/>
      <c r="Q78" s="174"/>
    </row>
    <row r="79" spans="1:17" x14ac:dyDescent="0.25">
      <c r="A79" s="151" t="s">
        <v>338</v>
      </c>
      <c r="B79" s="152" t="s">
        <v>335</v>
      </c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174"/>
      <c r="Q79" s="174"/>
    </row>
    <row r="80" spans="1:17" x14ac:dyDescent="0.25">
      <c r="A80" s="151" t="s">
        <v>339</v>
      </c>
      <c r="B80" s="152" t="s">
        <v>335</v>
      </c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174"/>
      <c r="Q80" s="174"/>
    </row>
    <row r="81" spans="1:17" x14ac:dyDescent="0.25">
      <c r="A81" s="168" t="s">
        <v>77</v>
      </c>
      <c r="B81" s="169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174"/>
      <c r="Q81" s="174"/>
    </row>
    <row r="82" spans="1:17" x14ac:dyDescent="0.25">
      <c r="A82" s="151" t="s">
        <v>340</v>
      </c>
      <c r="B82" s="152" t="s">
        <v>341</v>
      </c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174"/>
      <c r="Q82" s="174"/>
    </row>
    <row r="83" spans="1:17" x14ac:dyDescent="0.25">
      <c r="A83" s="151" t="s">
        <v>342</v>
      </c>
      <c r="B83" s="152" t="s">
        <v>335</v>
      </c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174"/>
      <c r="Q83" s="174"/>
    </row>
    <row r="84" spans="1:17" x14ac:dyDescent="0.25">
      <c r="A84" s="151" t="s">
        <v>343</v>
      </c>
      <c r="B84" s="152" t="s">
        <v>335</v>
      </c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174"/>
      <c r="Q84" s="174"/>
    </row>
    <row r="85" spans="1:17" x14ac:dyDescent="0.25">
      <c r="A85" s="151" t="s">
        <v>344</v>
      </c>
      <c r="B85" s="152" t="s">
        <v>335</v>
      </c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174"/>
      <c r="Q85" s="174"/>
    </row>
    <row r="86" spans="1:17" x14ac:dyDescent="0.25">
      <c r="A86" s="151" t="s">
        <v>345</v>
      </c>
      <c r="B86" s="152" t="s">
        <v>335</v>
      </c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174"/>
      <c r="Q86" s="174"/>
    </row>
    <row r="87" spans="1:17" x14ac:dyDescent="0.25">
      <c r="A87" s="151" t="s">
        <v>346</v>
      </c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174"/>
      <c r="Q87" s="174"/>
    </row>
    <row r="88" spans="1:17" x14ac:dyDescent="0.25">
      <c r="A88" s="170" t="s">
        <v>347</v>
      </c>
      <c r="B88" s="152" t="s">
        <v>348</v>
      </c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174"/>
      <c r="Q88" s="174"/>
    </row>
    <row r="89" spans="1:17" x14ac:dyDescent="0.25">
      <c r="A89" s="170" t="s">
        <v>349</v>
      </c>
      <c r="B89" s="152" t="s">
        <v>350</v>
      </c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174"/>
      <c r="Q89" s="174"/>
    </row>
    <row r="90" spans="1:17" x14ac:dyDescent="0.25">
      <c r="A90" s="170" t="s">
        <v>351</v>
      </c>
      <c r="B90" s="152" t="s">
        <v>335</v>
      </c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174"/>
      <c r="Q90" s="174"/>
    </row>
    <row r="91" spans="1:17" x14ac:dyDescent="0.25">
      <c r="A91" s="170" t="s">
        <v>352</v>
      </c>
      <c r="B91" s="152" t="s">
        <v>335</v>
      </c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174"/>
      <c r="Q91" s="174"/>
    </row>
    <row r="92" spans="1:17" x14ac:dyDescent="0.25">
      <c r="A92" s="170" t="s">
        <v>353</v>
      </c>
      <c r="B92" s="152" t="s">
        <v>335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174"/>
      <c r="Q92" s="174"/>
    </row>
    <row r="93" spans="1:17" x14ac:dyDescent="0.25">
      <c r="A93" s="170" t="s">
        <v>354</v>
      </c>
      <c r="B93" s="152" t="s">
        <v>335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174"/>
      <c r="Q93" s="174"/>
    </row>
    <row r="94" spans="1:17" x14ac:dyDescent="0.25">
      <c r="A94" s="170" t="s">
        <v>355</v>
      </c>
      <c r="B94" s="152" t="s">
        <v>335</v>
      </c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174"/>
      <c r="Q94" s="174"/>
    </row>
    <row r="95" spans="1:17" x14ac:dyDescent="0.25">
      <c r="A95" s="171" t="s">
        <v>356</v>
      </c>
      <c r="B95" s="169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174"/>
      <c r="Q95" s="174"/>
    </row>
    <row r="96" spans="1:17" ht="15.75" thickBot="1" x14ac:dyDescent="0.3">
      <c r="A96" s="172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174"/>
      <c r="Q96" s="174"/>
    </row>
    <row r="97" spans="1:17" ht="15.75" thickBot="1" x14ac:dyDescent="0.3">
      <c r="A97" s="154" t="s">
        <v>357</v>
      </c>
      <c r="B97" s="16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174"/>
      <c r="Q97" s="174"/>
    </row>
    <row r="98" spans="1:17" x14ac:dyDescent="0.25">
      <c r="A98" s="142" t="s">
        <v>358</v>
      </c>
      <c r="B98" s="36" t="s">
        <v>359</v>
      </c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174"/>
      <c r="Q98" s="174"/>
    </row>
    <row r="99" spans="1:17" x14ac:dyDescent="0.25">
      <c r="A99" s="142" t="s">
        <v>360</v>
      </c>
      <c r="B99" s="152" t="s">
        <v>335</v>
      </c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174"/>
      <c r="Q99" s="174"/>
    </row>
    <row r="100" spans="1:17" x14ac:dyDescent="0.25">
      <c r="A100" s="142" t="s">
        <v>361</v>
      </c>
      <c r="B100" s="152" t="s">
        <v>362</v>
      </c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174"/>
      <c r="Q100" s="174"/>
    </row>
    <row r="101" spans="1:17" x14ac:dyDescent="0.25">
      <c r="A101" s="142" t="s">
        <v>363</v>
      </c>
      <c r="B101" s="56" t="s">
        <v>392</v>
      </c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174"/>
      <c r="Q101" s="174"/>
    </row>
    <row r="102" spans="1:17" x14ac:dyDescent="0.25">
      <c r="A102" s="142" t="s">
        <v>364</v>
      </c>
      <c r="B102" s="152" t="s">
        <v>335</v>
      </c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174"/>
      <c r="Q102" s="174"/>
    </row>
    <row r="103" spans="1:17" x14ac:dyDescent="0.25">
      <c r="A103" s="142" t="s">
        <v>365</v>
      </c>
      <c r="B103" s="152" t="s">
        <v>335</v>
      </c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174"/>
      <c r="Q103" s="174"/>
    </row>
    <row r="104" spans="1:17" x14ac:dyDescent="0.25">
      <c r="A104" s="173" t="s">
        <v>366</v>
      </c>
      <c r="B104" s="152" t="s">
        <v>335</v>
      </c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174"/>
      <c r="Q104" s="174"/>
    </row>
    <row r="105" spans="1:17" x14ac:dyDescent="0.25">
      <c r="A105" s="173" t="s">
        <v>367</v>
      </c>
      <c r="B105" s="152" t="s">
        <v>335</v>
      </c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174"/>
      <c r="Q105" s="174"/>
    </row>
    <row r="106" spans="1:17" x14ac:dyDescent="0.25">
      <c r="A106" s="142" t="s">
        <v>368</v>
      </c>
      <c r="B106" s="36" t="s">
        <v>369</v>
      </c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174"/>
      <c r="Q106" s="174"/>
    </row>
    <row r="107" spans="1:17" x14ac:dyDescent="0.25">
      <c r="A107" s="142" t="s">
        <v>370</v>
      </c>
      <c r="B107" s="152" t="s">
        <v>335</v>
      </c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174"/>
      <c r="Q107" s="174"/>
    </row>
    <row r="108" spans="1:17" x14ac:dyDescent="0.25">
      <c r="A108" s="142" t="s">
        <v>371</v>
      </c>
      <c r="B108" s="152" t="s">
        <v>335</v>
      </c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174"/>
      <c r="Q108" s="174"/>
    </row>
    <row r="109" spans="1:17" x14ac:dyDescent="0.25">
      <c r="A109" s="173" t="s">
        <v>372</v>
      </c>
      <c r="B109" s="152" t="s">
        <v>335</v>
      </c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174"/>
      <c r="Q109" s="174"/>
    </row>
    <row r="110" spans="1:17" x14ac:dyDescent="0.25">
      <c r="A110" s="173" t="s">
        <v>373</v>
      </c>
      <c r="B110" s="152" t="s">
        <v>335</v>
      </c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174"/>
      <c r="Q110" s="174"/>
    </row>
    <row r="111" spans="1:17" ht="15.75" thickBot="1" x14ac:dyDescent="0.3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174"/>
      <c r="Q111" s="174"/>
    </row>
    <row r="112" spans="1:17" ht="15.75" thickBot="1" x14ac:dyDescent="0.3">
      <c r="A112" s="154" t="s">
        <v>374</v>
      </c>
      <c r="B112" s="167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174"/>
      <c r="Q112" s="174"/>
    </row>
    <row r="113" spans="1:17" x14ac:dyDescent="0.25">
      <c r="A113" s="142" t="s">
        <v>375</v>
      </c>
      <c r="B113" s="152" t="s">
        <v>335</v>
      </c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174"/>
      <c r="Q113" s="174"/>
    </row>
    <row r="114" spans="1:17" x14ac:dyDescent="0.25">
      <c r="A114" s="142" t="s">
        <v>376</v>
      </c>
      <c r="B114" s="152" t="s">
        <v>335</v>
      </c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174"/>
      <c r="Q114" s="174"/>
    </row>
    <row r="115" spans="1:17" x14ac:dyDescent="0.25">
      <c r="A115" s="142" t="s">
        <v>377</v>
      </c>
      <c r="B115" s="152" t="s">
        <v>335</v>
      </c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174"/>
      <c r="Q115" s="174"/>
    </row>
    <row r="116" spans="1:17" x14ac:dyDescent="0.25">
      <c r="A116" s="142" t="s">
        <v>378</v>
      </c>
      <c r="B116" s="152" t="s">
        <v>335</v>
      </c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174"/>
      <c r="Q116" s="174"/>
    </row>
    <row r="117" spans="1:17" x14ac:dyDescent="0.25">
      <c r="A117" s="142" t="s">
        <v>379</v>
      </c>
      <c r="B117" s="152" t="s">
        <v>335</v>
      </c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174"/>
      <c r="Q117" s="174"/>
    </row>
    <row r="118" spans="1:17" x14ac:dyDescent="0.25">
      <c r="A118" s="142" t="s">
        <v>98</v>
      </c>
      <c r="B118" s="152" t="s">
        <v>335</v>
      </c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174"/>
      <c r="Q118" s="174"/>
    </row>
    <row r="119" spans="1:17" x14ac:dyDescent="0.25">
      <c r="A119" s="142" t="s">
        <v>380</v>
      </c>
      <c r="B119" s="152" t="s">
        <v>335</v>
      </c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174"/>
      <c r="Q119" s="174"/>
    </row>
    <row r="120" spans="1:17" x14ac:dyDescent="0.25">
      <c r="A120" s="142" t="s">
        <v>381</v>
      </c>
      <c r="B120" s="152" t="s">
        <v>335</v>
      </c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174"/>
      <c r="Q120" s="174"/>
    </row>
    <row r="121" spans="1:17" x14ac:dyDescent="0.25">
      <c r="A121" s="142" t="s">
        <v>382</v>
      </c>
      <c r="B121" s="152" t="s">
        <v>335</v>
      </c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174"/>
      <c r="Q121" s="174"/>
    </row>
    <row r="122" spans="1:17" x14ac:dyDescent="0.25">
      <c r="A122" s="142" t="s">
        <v>99</v>
      </c>
      <c r="B122" s="152" t="s">
        <v>335</v>
      </c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174"/>
      <c r="Q122" s="174"/>
    </row>
    <row r="123" spans="1:17" x14ac:dyDescent="0.25">
      <c r="A123" s="142" t="s">
        <v>112</v>
      </c>
      <c r="B123" s="152" t="s">
        <v>335</v>
      </c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174"/>
      <c r="Q123" s="174"/>
    </row>
    <row r="124" spans="1:17" x14ac:dyDescent="0.25">
      <c r="A124" s="142" t="s">
        <v>383</v>
      </c>
      <c r="B124" s="152" t="s">
        <v>335</v>
      </c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174"/>
      <c r="Q124" s="174"/>
    </row>
    <row r="125" spans="1:17" x14ac:dyDescent="0.25">
      <c r="A125" s="142" t="s">
        <v>384</v>
      </c>
      <c r="B125" s="152" t="s">
        <v>335</v>
      </c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174"/>
      <c r="Q125" s="174"/>
    </row>
    <row r="126" spans="1:17" x14ac:dyDescent="0.25">
      <c r="A126" s="142" t="s">
        <v>100</v>
      </c>
      <c r="B126" s="152" t="s">
        <v>396</v>
      </c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174"/>
      <c r="Q126" s="174"/>
    </row>
    <row r="127" spans="1:17" x14ac:dyDescent="0.25">
      <c r="A127" s="142" t="s">
        <v>102</v>
      </c>
      <c r="B127" s="36" t="s">
        <v>385</v>
      </c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174"/>
      <c r="Q127" s="174"/>
    </row>
    <row r="128" spans="1:17" x14ac:dyDescent="0.25">
      <c r="A128" s="142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174"/>
      <c r="Q128" s="174"/>
    </row>
    <row r="129" spans="1:17" x14ac:dyDescent="0.25">
      <c r="A129" s="135" t="s">
        <v>164</v>
      </c>
      <c r="B129" s="36" t="s">
        <v>386</v>
      </c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174"/>
      <c r="Q129" s="174"/>
    </row>
    <row r="130" spans="1:17" x14ac:dyDescent="0.25">
      <c r="A130" s="142"/>
      <c r="B130" s="36" t="s">
        <v>387</v>
      </c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174"/>
      <c r="Q130" s="174"/>
    </row>
    <row r="131" spans="1:17" x14ac:dyDescent="0.25">
      <c r="A131" s="142"/>
      <c r="B131" s="36" t="s">
        <v>388</v>
      </c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174"/>
      <c r="Q131" s="174"/>
    </row>
  </sheetData>
  <hyperlinks>
    <hyperlink ref="N1" location="DASHBOARD!A1" display="DASHBOARD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13"/>
  <sheetViews>
    <sheetView showGridLines="0" zoomScaleNormal="100" workbookViewId="0">
      <selection activeCell="M2" sqref="M2"/>
    </sheetView>
  </sheetViews>
  <sheetFormatPr defaultRowHeight="15" x14ac:dyDescent="0.25"/>
  <cols>
    <col min="3" max="3" width="20.28515625" bestFit="1" customWidth="1"/>
    <col min="4" max="4" width="11.42578125" customWidth="1"/>
    <col min="5" max="5" width="10.28515625" customWidth="1"/>
    <col min="6" max="7" width="10.7109375" customWidth="1"/>
    <col min="8" max="8" width="10" customWidth="1"/>
    <col min="9" max="9" width="11" customWidth="1"/>
    <col min="10" max="10" width="9.5703125" bestFit="1" customWidth="1"/>
  </cols>
  <sheetData>
    <row r="2" spans="3:13" x14ac:dyDescent="0.25">
      <c r="D2" s="175">
        <v>2019</v>
      </c>
      <c r="E2" s="175">
        <v>2020</v>
      </c>
      <c r="F2" s="175">
        <v>2021</v>
      </c>
      <c r="G2" s="175">
        <v>2022</v>
      </c>
      <c r="H2" s="175">
        <v>2023</v>
      </c>
      <c r="I2" s="175">
        <v>2024</v>
      </c>
      <c r="J2" s="175">
        <v>2025</v>
      </c>
      <c r="K2" s="176" t="s">
        <v>133</v>
      </c>
      <c r="M2" s="185" t="s">
        <v>432</v>
      </c>
    </row>
    <row r="3" spans="3:13" x14ac:dyDescent="0.25">
      <c r="C3" t="s">
        <v>410</v>
      </c>
      <c r="D3" s="21">
        <v>20004.52</v>
      </c>
      <c r="E3" s="21">
        <v>24870.2</v>
      </c>
      <c r="F3" s="21">
        <v>24143.06</v>
      </c>
      <c r="G3" s="21">
        <v>30976.27</v>
      </c>
      <c r="H3" s="21">
        <v>42839.56</v>
      </c>
      <c r="I3" s="98">
        <f>I4*I5</f>
        <v>51823.199014746067</v>
      </c>
      <c r="J3" s="98">
        <f>J4*J5</f>
        <v>62690.745566060396</v>
      </c>
      <c r="K3" s="29">
        <f>RATE(4,0,-D3,H3,0,0)</f>
        <v>0.2097042783527471</v>
      </c>
    </row>
    <row r="4" spans="3:13" x14ac:dyDescent="0.25">
      <c r="C4" t="s">
        <v>132</v>
      </c>
      <c r="D4">
        <v>176</v>
      </c>
      <c r="E4">
        <v>214</v>
      </c>
      <c r="F4">
        <v>234</v>
      </c>
      <c r="G4">
        <v>284</v>
      </c>
      <c r="H4">
        <v>324</v>
      </c>
      <c r="I4" s="28">
        <f>H4*$K$4+H4</f>
        <v>377.40104277513819</v>
      </c>
      <c r="J4" s="28">
        <f>I4*$K$4+I4</f>
        <v>439.60354039432622</v>
      </c>
      <c r="K4" s="29">
        <f t="shared" ref="K4:K5" si="0">RATE(4,0,-D4,H4,0,0)</f>
        <v>0.16481803325659938</v>
      </c>
    </row>
    <row r="5" spans="3:13" x14ac:dyDescent="0.25">
      <c r="C5" s="123" t="s">
        <v>266</v>
      </c>
      <c r="D5" s="122">
        <f>D3/D4</f>
        <v>113.66204545454546</v>
      </c>
      <c r="E5" s="122">
        <f t="shared" ref="E5:H5" si="1">E3/E4</f>
        <v>116.2158878504673</v>
      </c>
      <c r="F5" s="122">
        <f t="shared" si="1"/>
        <v>103.1754700854701</v>
      </c>
      <c r="G5" s="122">
        <f t="shared" si="1"/>
        <v>109.07137323943662</v>
      </c>
      <c r="H5" s="122">
        <f t="shared" si="1"/>
        <v>132.22086419753086</v>
      </c>
      <c r="I5" s="122">
        <f>H5*(1+$K$5)</f>
        <v>137.31599317711263</v>
      </c>
      <c r="J5" s="124">
        <f>I5*(1+$K$5)</f>
        <v>142.60746287399445</v>
      </c>
      <c r="K5" s="29">
        <f t="shared" si="0"/>
        <v>3.8534984705363276E-2</v>
      </c>
    </row>
    <row r="6" spans="3:13" x14ac:dyDescent="0.25">
      <c r="E6">
        <f>E4-D4</f>
        <v>38</v>
      </c>
      <c r="F6">
        <f t="shared" ref="F6:H6" si="2">F4-E4</f>
        <v>20</v>
      </c>
      <c r="G6">
        <f t="shared" si="2"/>
        <v>50</v>
      </c>
      <c r="H6">
        <f t="shared" si="2"/>
        <v>40</v>
      </c>
    </row>
    <row r="7" spans="3:13" x14ac:dyDescent="0.25">
      <c r="C7" t="s">
        <v>134</v>
      </c>
      <c r="D7">
        <v>17.2</v>
      </c>
      <c r="E7">
        <v>20.100000000000001</v>
      </c>
      <c r="F7">
        <v>15.2</v>
      </c>
      <c r="G7">
        <v>18.100000000000001</v>
      </c>
      <c r="H7">
        <v>25.8</v>
      </c>
      <c r="I7" s="28">
        <f>H7*(1+$K$7)</f>
        <v>28.552393528268293</v>
      </c>
      <c r="J7" s="28">
        <f>I7*(1+$K$7)</f>
        <v>31.59841768190299</v>
      </c>
      <c r="K7" s="52">
        <f>RATE(4,0,-D7,H7,0,0)</f>
        <v>0.10668191970032152</v>
      </c>
    </row>
    <row r="8" spans="3:13" x14ac:dyDescent="0.25">
      <c r="C8" s="123" t="s">
        <v>268</v>
      </c>
      <c r="D8" s="122">
        <f>D3/D7</f>
        <v>1163.0534883720932</v>
      </c>
      <c r="E8" s="122">
        <f t="shared" ref="E8:J8" si="3">E3/E7</f>
        <v>1237.323383084577</v>
      </c>
      <c r="F8" s="122">
        <f t="shared" si="3"/>
        <v>1588.359210526316</v>
      </c>
      <c r="G8" s="122">
        <f t="shared" si="3"/>
        <v>1711.396132596685</v>
      </c>
      <c r="H8" s="122">
        <f t="shared" si="3"/>
        <v>1660.4480620155036</v>
      </c>
      <c r="I8" s="122">
        <f t="shared" si="3"/>
        <v>1815.0211807440421</v>
      </c>
      <c r="J8" s="124">
        <f t="shared" si="3"/>
        <v>1983.9836980813304</v>
      </c>
      <c r="K8" s="52">
        <f>RATE(4,0,-D8,H8,0,0)</f>
        <v>9.3091209690131224E-2</v>
      </c>
    </row>
    <row r="9" spans="3:13" x14ac:dyDescent="0.25">
      <c r="I9" s="98">
        <f>I8*I7</f>
        <v>51823.199014746067</v>
      </c>
      <c r="J9" s="98">
        <f>J8*J7</f>
        <v>62690.745566060396</v>
      </c>
      <c r="K9" s="14"/>
    </row>
    <row r="10" spans="3:13" x14ac:dyDescent="0.25">
      <c r="I10" s="28"/>
      <c r="J10" s="28"/>
      <c r="K10" s="14"/>
    </row>
    <row r="11" spans="3:13" x14ac:dyDescent="0.25">
      <c r="C11" t="s">
        <v>135</v>
      </c>
      <c r="D11">
        <v>0.59</v>
      </c>
      <c r="E11">
        <v>0.78</v>
      </c>
      <c r="F11">
        <v>0.88</v>
      </c>
      <c r="G11">
        <v>1.1499999999999999</v>
      </c>
      <c r="H11">
        <v>1.34</v>
      </c>
      <c r="I11" s="31">
        <f>H11*(1+$K$11)</f>
        <v>1.6450079268740068</v>
      </c>
      <c r="J11" s="30">
        <f>I11*(1+$K$11)</f>
        <v>2.0194411040882967</v>
      </c>
      <c r="K11" s="52">
        <f t="shared" ref="K11:K12" si="4">RATE(4,0,-D11,H11,0,0)</f>
        <v>0.22761785587612432</v>
      </c>
    </row>
    <row r="12" spans="3:13" x14ac:dyDescent="0.25">
      <c r="C12" s="6" t="s">
        <v>267</v>
      </c>
      <c r="D12" s="59">
        <f>D3/D11</f>
        <v>33905.966101694918</v>
      </c>
      <c r="E12" s="59">
        <f t="shared" ref="E12:H12" si="5">E3/E11</f>
        <v>31884.871794871793</v>
      </c>
      <c r="F12" s="59">
        <f t="shared" si="5"/>
        <v>27435.295454545456</v>
      </c>
      <c r="G12" s="59">
        <f t="shared" si="5"/>
        <v>26935.886956521743</v>
      </c>
      <c r="H12" s="59">
        <f t="shared" si="5"/>
        <v>31969.820895522385</v>
      </c>
      <c r="I12" s="59">
        <f>H12*(1+$K$12)</f>
        <v>31503.312639490392</v>
      </c>
      <c r="J12" s="59">
        <f>I12*(1+$K$12)</f>
        <v>31043.61173948511</v>
      </c>
      <c r="K12" s="52">
        <f t="shared" si="4"/>
        <v>-1.4592144809210677E-2</v>
      </c>
    </row>
    <row r="13" spans="3:13" x14ac:dyDescent="0.25">
      <c r="I13" s="98">
        <f>I12*I11</f>
        <v>51823.199014751786</v>
      </c>
      <c r="J13" s="98">
        <f>J12*J11</f>
        <v>62690.74556607422</v>
      </c>
    </row>
  </sheetData>
  <hyperlinks>
    <hyperlink ref="M2" location="DASHBOARD!A1" display="DASHBOARD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B1:V48"/>
  <sheetViews>
    <sheetView showGridLines="0" zoomScale="70" zoomScaleNormal="70" workbookViewId="0">
      <pane ySplit="2" topLeftCell="A3" activePane="bottomLeft" state="frozen"/>
      <selection activeCell="G12" sqref="G12"/>
      <selection pane="bottomLeft" activeCell="M1" sqref="M1:N1"/>
    </sheetView>
  </sheetViews>
  <sheetFormatPr defaultRowHeight="15" x14ac:dyDescent="0.25"/>
  <cols>
    <col min="2" max="2" width="44.7109375" customWidth="1"/>
    <col min="3" max="3" width="13.140625" style="1" bestFit="1" customWidth="1"/>
    <col min="4" max="4" width="11.7109375" bestFit="1" customWidth="1"/>
    <col min="5" max="7" width="13.140625" bestFit="1" customWidth="1"/>
    <col min="8" max="8" width="11.140625" bestFit="1" customWidth="1"/>
    <col min="15" max="15" width="40.5703125" bestFit="1" customWidth="1"/>
    <col min="21" max="21" width="11.140625" customWidth="1"/>
    <col min="22" max="22" width="13.85546875" bestFit="1" customWidth="1"/>
  </cols>
  <sheetData>
    <row r="1" spans="2:22" x14ac:dyDescent="0.25">
      <c r="B1" s="186" t="s">
        <v>263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7" t="s">
        <v>432</v>
      </c>
      <c r="N1" s="187"/>
    </row>
    <row r="2" spans="2:22" x14ac:dyDescent="0.25">
      <c r="B2" s="2" t="s">
        <v>0</v>
      </c>
      <c r="C2" s="114" t="s">
        <v>1</v>
      </c>
      <c r="D2" s="114" t="s">
        <v>2</v>
      </c>
      <c r="E2" s="114" t="s">
        <v>3</v>
      </c>
      <c r="F2" s="114" t="s">
        <v>4</v>
      </c>
      <c r="G2" s="114" t="s">
        <v>5</v>
      </c>
      <c r="H2" s="114" t="s">
        <v>6</v>
      </c>
      <c r="I2" s="114" t="s">
        <v>7</v>
      </c>
      <c r="J2" s="114" t="s">
        <v>8</v>
      </c>
      <c r="K2" s="114" t="s">
        <v>9</v>
      </c>
      <c r="L2" s="114" t="s">
        <v>10</v>
      </c>
      <c r="O2" s="2" t="s">
        <v>115</v>
      </c>
      <c r="P2" s="101" t="s">
        <v>1</v>
      </c>
      <c r="Q2" s="101" t="s">
        <v>2</v>
      </c>
      <c r="R2" s="101" t="s">
        <v>3</v>
      </c>
      <c r="S2" s="101" t="s">
        <v>4</v>
      </c>
      <c r="T2" s="101" t="s">
        <v>5</v>
      </c>
      <c r="U2" s="13" t="s">
        <v>116</v>
      </c>
    </row>
    <row r="3" spans="2:22" x14ac:dyDescent="0.25">
      <c r="B3" s="102" t="s">
        <v>11</v>
      </c>
      <c r="C3" s="103">
        <f>C4+C5</f>
        <v>20052.87</v>
      </c>
      <c r="D3" s="103">
        <f t="shared" ref="D3:L3" si="0">D4+D5</f>
        <v>24930.190000000002</v>
      </c>
      <c r="E3" s="103">
        <f t="shared" si="0"/>
        <v>24339.27</v>
      </c>
      <c r="F3" s="103">
        <f t="shared" si="0"/>
        <v>31093.760000000002</v>
      </c>
      <c r="G3" s="103">
        <f t="shared" si="0"/>
        <v>42968.899999999994</v>
      </c>
      <c r="H3" s="103">
        <f t="shared" si="0"/>
        <v>52027.851183004706</v>
      </c>
      <c r="I3" s="103">
        <f t="shared" si="0"/>
        <v>62938.314169577025</v>
      </c>
      <c r="J3" s="103">
        <f t="shared" si="0"/>
        <v>72379.061295013569</v>
      </c>
      <c r="K3" s="103">
        <f t="shared" si="0"/>
        <v>83235.920489265598</v>
      </c>
      <c r="L3" s="103">
        <f t="shared" si="0"/>
        <v>95721.308562655438</v>
      </c>
      <c r="M3" s="104"/>
      <c r="N3" s="104"/>
      <c r="O3" s="102" t="s">
        <v>11</v>
      </c>
      <c r="P3" s="102"/>
      <c r="Q3" s="105">
        <f>IFERROR((D3/C3)-1,"-")</f>
        <v>0.24322303989404026</v>
      </c>
      <c r="R3" s="105">
        <f t="shared" ref="R3:T3" si="1">IFERROR((E3/D3)-1,"-")</f>
        <v>-2.3702988224317711E-2</v>
      </c>
      <c r="S3" s="105">
        <f t="shared" si="1"/>
        <v>0.27751407499074543</v>
      </c>
      <c r="T3" s="105">
        <f t="shared" si="1"/>
        <v>0.38191392742466634</v>
      </c>
      <c r="U3" s="106">
        <f>RATE(4,0,-C3,G3,0)</f>
        <v>0.2098859247977593</v>
      </c>
      <c r="V3" s="15"/>
    </row>
    <row r="4" spans="2:22" x14ac:dyDescent="0.25">
      <c r="B4" s="4" t="s">
        <v>12</v>
      </c>
      <c r="C4" s="63">
        <v>20004.52</v>
      </c>
      <c r="D4" s="63">
        <v>24870.2</v>
      </c>
      <c r="E4" s="63">
        <v>24143.06</v>
      </c>
      <c r="F4" s="63">
        <v>30976.27</v>
      </c>
      <c r="G4" s="63">
        <v>42839.56</v>
      </c>
      <c r="H4" s="28">
        <f>Sales!I3</f>
        <v>51823.199014746067</v>
      </c>
      <c r="I4" s="28">
        <f>Sales!J3</f>
        <v>62690.745566060396</v>
      </c>
      <c r="J4" s="28">
        <f>I4*1.15</f>
        <v>72094.357400969442</v>
      </c>
      <c r="K4" s="28">
        <f t="shared" ref="K4:L4" si="2">J4*1.15</f>
        <v>82908.511011114853</v>
      </c>
      <c r="L4" s="28">
        <f t="shared" si="2"/>
        <v>95344.787662782081</v>
      </c>
      <c r="O4" s="4" t="s">
        <v>12</v>
      </c>
      <c r="P4" s="11"/>
      <c r="Q4" s="18">
        <f t="shared" ref="Q4:Q21" si="3">IFERROR((D4/C4)-1,"-")</f>
        <v>0.24322903023916598</v>
      </c>
      <c r="R4" s="18">
        <f t="shared" ref="R4:R21" si="4">IFERROR((E4/D4)-1,"-")</f>
        <v>-2.9237400583831175E-2</v>
      </c>
      <c r="S4" s="18">
        <f t="shared" ref="S4:S21" si="5">IFERROR((F4/E4)-1,"-")</f>
        <v>0.28302998874210639</v>
      </c>
      <c r="T4" s="18">
        <f t="shared" ref="T4:T21" si="6">IFERROR((G4/F4)-1,"-")</f>
        <v>0.38297993915987938</v>
      </c>
      <c r="U4" s="14">
        <f>IFERROR(RATE(4,0,-C4,G4,0),"-")</f>
        <v>0.20970427835274708</v>
      </c>
    </row>
    <row r="5" spans="2:22" x14ac:dyDescent="0.25">
      <c r="B5" s="4" t="s">
        <v>13</v>
      </c>
      <c r="C5" s="63">
        <v>48.35</v>
      </c>
      <c r="D5" s="63">
        <v>59.99</v>
      </c>
      <c r="E5" s="63">
        <v>196.21</v>
      </c>
      <c r="F5" s="63">
        <v>117.49</v>
      </c>
      <c r="G5" s="63">
        <v>129.34</v>
      </c>
      <c r="H5" s="28">
        <f>H4*$H$30/$H$29</f>
        <v>204.65216825864235</v>
      </c>
      <c r="I5" s="28">
        <f t="shared" ref="I5:L5" si="7">I4*$H$30/$H$29</f>
        <v>247.56860351663093</v>
      </c>
      <c r="J5" s="28">
        <f t="shared" si="7"/>
        <v>284.70389404412555</v>
      </c>
      <c r="K5" s="28">
        <f t="shared" si="7"/>
        <v>327.40947815074435</v>
      </c>
      <c r="L5" s="28">
        <f t="shared" si="7"/>
        <v>376.52089987335603</v>
      </c>
      <c r="O5" s="4" t="s">
        <v>13</v>
      </c>
      <c r="P5" s="10"/>
      <c r="Q5" s="18">
        <f t="shared" si="3"/>
        <v>0.24074457083764211</v>
      </c>
      <c r="R5" s="18">
        <f t="shared" si="4"/>
        <v>2.2707117852975496</v>
      </c>
      <c r="S5" s="18">
        <f t="shared" si="5"/>
        <v>-0.40120279292594674</v>
      </c>
      <c r="T5" s="18">
        <f t="shared" si="6"/>
        <v>0.10085964762958555</v>
      </c>
      <c r="U5" s="14">
        <f t="shared" ref="U5:U21" si="8">IFERROR(RATE(4,0,-C5,G5,0),"-")</f>
        <v>0.27889265922791912</v>
      </c>
    </row>
    <row r="6" spans="2:22" x14ac:dyDescent="0.25">
      <c r="B6" s="102" t="s">
        <v>14</v>
      </c>
      <c r="C6" s="103">
        <f>C7+C8</f>
        <v>17000.84</v>
      </c>
      <c r="D6" s="103">
        <f t="shared" ref="D6:G6" si="9">D7+D8</f>
        <v>21102.93</v>
      </c>
      <c r="E6" s="103">
        <f t="shared" si="9"/>
        <v>20554.68</v>
      </c>
      <c r="F6" s="103">
        <f t="shared" si="9"/>
        <v>26397.39</v>
      </c>
      <c r="G6" s="103">
        <f t="shared" si="9"/>
        <v>36383.949999999997</v>
      </c>
      <c r="H6" s="103">
        <f>H3*$H$31</f>
        <v>44062.391275945047</v>
      </c>
      <c r="I6" s="103">
        <f t="shared" ref="I6:L6" si="10">I3*$H$31</f>
        <v>53302.463240960264</v>
      </c>
      <c r="J6" s="103">
        <f t="shared" si="10"/>
        <v>61297.832727104294</v>
      </c>
      <c r="K6" s="103">
        <f t="shared" si="10"/>
        <v>70492.507636169932</v>
      </c>
      <c r="L6" s="103">
        <f t="shared" si="10"/>
        <v>81066.383781595432</v>
      </c>
      <c r="M6" s="104"/>
      <c r="N6" s="104"/>
      <c r="O6" s="102" t="s">
        <v>14</v>
      </c>
      <c r="P6" s="102"/>
      <c r="Q6" s="105">
        <f t="shared" si="3"/>
        <v>0.24128748932405686</v>
      </c>
      <c r="R6" s="105">
        <f t="shared" si="4"/>
        <v>-2.5979804700105635E-2</v>
      </c>
      <c r="S6" s="105">
        <f t="shared" si="5"/>
        <v>0.28425205354692951</v>
      </c>
      <c r="T6" s="105">
        <f t="shared" si="6"/>
        <v>0.3783161895929863</v>
      </c>
      <c r="U6" s="106">
        <f t="shared" si="8"/>
        <v>0.20951112275367781</v>
      </c>
    </row>
    <row r="7" spans="2:22" x14ac:dyDescent="0.25">
      <c r="B7" s="4" t="s">
        <v>15</v>
      </c>
      <c r="C7" s="63">
        <v>17445.490000000002</v>
      </c>
      <c r="D7" s="63">
        <v>21441.68</v>
      </c>
      <c r="E7" s="63">
        <v>20855.560000000001</v>
      </c>
      <c r="F7" s="63">
        <v>26891.77</v>
      </c>
      <c r="G7" s="63">
        <v>36884.769999999997</v>
      </c>
      <c r="H7" s="28"/>
      <c r="I7" s="28"/>
      <c r="J7" s="28"/>
      <c r="K7" s="28"/>
      <c r="L7" s="28"/>
      <c r="O7" s="4" t="s">
        <v>15</v>
      </c>
      <c r="P7" s="11"/>
      <c r="Q7" s="18">
        <f t="shared" si="3"/>
        <v>0.2290672259707236</v>
      </c>
      <c r="R7" s="18">
        <f t="shared" si="4"/>
        <v>-2.7335544602848261E-2</v>
      </c>
      <c r="S7" s="18">
        <f t="shared" si="5"/>
        <v>0.28942929367516368</v>
      </c>
      <c r="T7" s="18">
        <f t="shared" si="6"/>
        <v>0.37160067931564189</v>
      </c>
      <c r="U7" s="14">
        <f t="shared" si="8"/>
        <v>0.20584358379720857</v>
      </c>
    </row>
    <row r="8" spans="2:22" x14ac:dyDescent="0.25">
      <c r="B8" s="4" t="s">
        <v>16</v>
      </c>
      <c r="C8" s="63">
        <v>-444.65</v>
      </c>
      <c r="D8" s="63">
        <v>-338.75</v>
      </c>
      <c r="E8" s="63">
        <v>-300.88</v>
      </c>
      <c r="F8" s="63">
        <v>-494.38</v>
      </c>
      <c r="G8" s="63">
        <v>-500.82</v>
      </c>
      <c r="H8" s="28"/>
      <c r="I8" s="28"/>
      <c r="J8" s="28"/>
      <c r="K8" s="28"/>
      <c r="L8" s="28"/>
      <c r="O8" s="4" t="s">
        <v>16</v>
      </c>
      <c r="P8" s="10"/>
      <c r="Q8" s="18">
        <f t="shared" si="3"/>
        <v>-0.23816484875744959</v>
      </c>
      <c r="R8" s="18">
        <f t="shared" si="4"/>
        <v>-0.11179335793357936</v>
      </c>
      <c r="S8" s="18">
        <f t="shared" si="5"/>
        <v>0.64311353363467161</v>
      </c>
      <c r="T8" s="18">
        <f t="shared" si="6"/>
        <v>1.3026416926251061E-2</v>
      </c>
      <c r="U8" s="14">
        <f t="shared" si="8"/>
        <v>3.018647012398791E-2</v>
      </c>
    </row>
    <row r="9" spans="2:22" x14ac:dyDescent="0.25">
      <c r="B9" s="107" t="s">
        <v>17</v>
      </c>
      <c r="C9" s="103">
        <f>C3-C6</f>
        <v>3052.0299999999988</v>
      </c>
      <c r="D9" s="103">
        <f t="shared" ref="D9:L9" si="11">D3-D6</f>
        <v>3827.260000000002</v>
      </c>
      <c r="E9" s="103">
        <f t="shared" si="11"/>
        <v>3784.59</v>
      </c>
      <c r="F9" s="103">
        <f t="shared" si="11"/>
        <v>4696.3700000000026</v>
      </c>
      <c r="G9" s="103">
        <f t="shared" si="11"/>
        <v>6584.9499999999971</v>
      </c>
      <c r="H9" s="103">
        <f t="shared" si="11"/>
        <v>7965.4599070596596</v>
      </c>
      <c r="I9" s="103">
        <f t="shared" si="11"/>
        <v>9635.8509286167609</v>
      </c>
      <c r="J9" s="103">
        <f t="shared" si="11"/>
        <v>11081.228567909275</v>
      </c>
      <c r="K9" s="103">
        <f t="shared" si="11"/>
        <v>12743.412853095666</v>
      </c>
      <c r="L9" s="103">
        <f t="shared" si="11"/>
        <v>14654.924781060006</v>
      </c>
      <c r="M9" s="104"/>
      <c r="N9" s="104"/>
      <c r="O9" s="107" t="s">
        <v>17</v>
      </c>
      <c r="P9" s="102"/>
      <c r="Q9" s="105">
        <f t="shared" si="3"/>
        <v>0.25400471161817006</v>
      </c>
      <c r="R9" s="105">
        <f t="shared" si="4"/>
        <v>-1.1148968191343589E-2</v>
      </c>
      <c r="S9" s="105">
        <f t="shared" si="5"/>
        <v>0.24091909559556046</v>
      </c>
      <c r="T9" s="105">
        <f t="shared" si="6"/>
        <v>0.40213611789530934</v>
      </c>
      <c r="U9" s="106">
        <f t="shared" si="8"/>
        <v>0.2119673517563512</v>
      </c>
    </row>
    <row r="10" spans="2:22" x14ac:dyDescent="0.25">
      <c r="B10" s="7" t="s">
        <v>20</v>
      </c>
      <c r="C10" s="12">
        <f>SUM(C11:C12)</f>
        <v>1370.39</v>
      </c>
      <c r="D10" s="12">
        <f t="shared" ref="D10:L10" si="12">SUM(D11:D12)</f>
        <v>1638.96</v>
      </c>
      <c r="E10" s="12">
        <f t="shared" si="12"/>
        <v>1845.33</v>
      </c>
      <c r="F10" s="12">
        <f t="shared" si="12"/>
        <v>2080.38</v>
      </c>
      <c r="G10" s="12">
        <f t="shared" si="12"/>
        <v>2818.58</v>
      </c>
      <c r="H10" s="12">
        <f t="shared" si="12"/>
        <v>3562.8702972358014</v>
      </c>
      <c r="I10" s="12">
        <f t="shared" si="12"/>
        <v>4310.019441781812</v>
      </c>
      <c r="J10" s="12">
        <f t="shared" si="12"/>
        <v>4956.5223580490838</v>
      </c>
      <c r="K10" s="12">
        <f t="shared" si="12"/>
        <v>5700.0007117564455</v>
      </c>
      <c r="L10" s="12">
        <f t="shared" si="12"/>
        <v>6555.0008185199122</v>
      </c>
      <c r="O10" s="7" t="s">
        <v>20</v>
      </c>
      <c r="P10" s="5"/>
      <c r="Q10" s="18">
        <f t="shared" si="3"/>
        <v>0.19598070622231623</v>
      </c>
      <c r="R10" s="18">
        <f t="shared" si="4"/>
        <v>0.12591521452628496</v>
      </c>
      <c r="S10" s="18">
        <f t="shared" si="5"/>
        <v>0.12737559135764354</v>
      </c>
      <c r="T10" s="18">
        <f t="shared" si="6"/>
        <v>0.35483901979446042</v>
      </c>
      <c r="U10" s="14">
        <f t="shared" si="8"/>
        <v>0.19755797236204148</v>
      </c>
    </row>
    <row r="11" spans="2:22" x14ac:dyDescent="0.25">
      <c r="B11" s="4" t="s">
        <v>18</v>
      </c>
      <c r="C11" s="63">
        <v>355.42</v>
      </c>
      <c r="D11" s="63">
        <v>456.1</v>
      </c>
      <c r="E11" s="63">
        <v>536.57000000000005</v>
      </c>
      <c r="F11" s="63">
        <v>616.21</v>
      </c>
      <c r="G11" s="63">
        <v>746.97</v>
      </c>
      <c r="H11" s="28">
        <f>H3*$H$36</f>
        <v>991.30171514044844</v>
      </c>
      <c r="I11" s="28">
        <f t="shared" ref="I11:L11" si="13">I3*$H$36</f>
        <v>1199.1819259437441</v>
      </c>
      <c r="J11" s="28">
        <f t="shared" si="13"/>
        <v>1379.0592148353057</v>
      </c>
      <c r="K11" s="28">
        <f t="shared" si="13"/>
        <v>1585.9180970606014</v>
      </c>
      <c r="L11" s="28">
        <f t="shared" si="13"/>
        <v>1823.8058116196917</v>
      </c>
      <c r="O11" s="4" t="s">
        <v>18</v>
      </c>
      <c r="P11" s="10"/>
      <c r="Q11" s="18">
        <f t="shared" si="3"/>
        <v>0.2832704968769344</v>
      </c>
      <c r="R11" s="18">
        <f t="shared" si="4"/>
        <v>0.17643060732295557</v>
      </c>
      <c r="S11" s="18">
        <f t="shared" si="5"/>
        <v>0.14842425033080486</v>
      </c>
      <c r="T11" s="18">
        <f t="shared" si="6"/>
        <v>0.21220038623196635</v>
      </c>
      <c r="U11" s="14">
        <f t="shared" si="8"/>
        <v>0.20403836227250183</v>
      </c>
    </row>
    <row r="12" spans="2:22" x14ac:dyDescent="0.25">
      <c r="B12" s="4" t="s">
        <v>19</v>
      </c>
      <c r="C12" s="63">
        <v>1014.97</v>
      </c>
      <c r="D12" s="63">
        <v>1182.8599999999999</v>
      </c>
      <c r="E12" s="63">
        <v>1308.76</v>
      </c>
      <c r="F12" s="63">
        <v>1464.17</v>
      </c>
      <c r="G12" s="63">
        <v>2071.61</v>
      </c>
      <c r="H12" s="28">
        <f>H3*$H$37</f>
        <v>2571.5685820953531</v>
      </c>
      <c r="I12" s="28">
        <f t="shared" ref="I12:L12" si="14">I3*$H$37</f>
        <v>3110.8375158380682</v>
      </c>
      <c r="J12" s="28">
        <f t="shared" si="14"/>
        <v>3577.463143213778</v>
      </c>
      <c r="K12" s="28">
        <f t="shared" si="14"/>
        <v>4114.0826146958443</v>
      </c>
      <c r="L12" s="28">
        <f t="shared" si="14"/>
        <v>4731.1950069002205</v>
      </c>
      <c r="O12" s="4" t="s">
        <v>19</v>
      </c>
      <c r="P12" s="11"/>
      <c r="Q12" s="18">
        <f t="shared" si="3"/>
        <v>0.1654137560716078</v>
      </c>
      <c r="R12" s="18">
        <f t="shared" si="4"/>
        <v>0.10643694097357259</v>
      </c>
      <c r="S12" s="18">
        <f t="shared" si="5"/>
        <v>0.11874598856933294</v>
      </c>
      <c r="T12" s="18">
        <f t="shared" si="6"/>
        <v>0.41486985800829146</v>
      </c>
      <c r="U12" s="14">
        <f t="shared" si="8"/>
        <v>0.19526361195284306</v>
      </c>
    </row>
    <row r="13" spans="2:22" x14ac:dyDescent="0.25">
      <c r="B13" s="107" t="s">
        <v>24</v>
      </c>
      <c r="C13" s="103">
        <f>C9-C10</f>
        <v>1681.6399999999987</v>
      </c>
      <c r="D13" s="103">
        <f t="shared" ref="D13:L13" si="15">D9-D10</f>
        <v>2188.300000000002</v>
      </c>
      <c r="E13" s="103">
        <f t="shared" si="15"/>
        <v>1939.2600000000002</v>
      </c>
      <c r="F13" s="103">
        <f t="shared" si="15"/>
        <v>2615.9900000000025</v>
      </c>
      <c r="G13" s="103">
        <f t="shared" si="15"/>
        <v>3766.3699999999972</v>
      </c>
      <c r="H13" s="103">
        <f t="shared" si="15"/>
        <v>4402.5896098238582</v>
      </c>
      <c r="I13" s="103">
        <f t="shared" si="15"/>
        <v>5325.8314868349489</v>
      </c>
      <c r="J13" s="103">
        <f t="shared" si="15"/>
        <v>6124.7062098601909</v>
      </c>
      <c r="K13" s="103">
        <f t="shared" si="15"/>
        <v>7043.4121413392204</v>
      </c>
      <c r="L13" s="103">
        <f t="shared" si="15"/>
        <v>8099.9239625400942</v>
      </c>
      <c r="M13" s="104"/>
      <c r="N13" s="104"/>
      <c r="O13" s="107" t="s">
        <v>24</v>
      </c>
      <c r="P13" s="102"/>
      <c r="Q13" s="105">
        <f t="shared" si="3"/>
        <v>0.30128921766846872</v>
      </c>
      <c r="R13" s="105">
        <f t="shared" si="4"/>
        <v>-0.11380523694191913</v>
      </c>
      <c r="S13" s="105">
        <f t="shared" si="5"/>
        <v>0.34896300650763812</v>
      </c>
      <c r="T13" s="105">
        <f t="shared" si="6"/>
        <v>0.43974938742120329</v>
      </c>
      <c r="U13" s="106">
        <f t="shared" si="8"/>
        <v>0.2233408787437646</v>
      </c>
    </row>
    <row r="14" spans="2:22" x14ac:dyDescent="0.25">
      <c r="B14" s="4" t="s">
        <v>21</v>
      </c>
      <c r="C14" s="63">
        <v>212.49</v>
      </c>
      <c r="D14" s="63">
        <v>374.41</v>
      </c>
      <c r="E14" s="63">
        <v>414.16</v>
      </c>
      <c r="F14" s="63">
        <v>498.08</v>
      </c>
      <c r="G14" s="63">
        <v>638.87</v>
      </c>
      <c r="H14" s="28">
        <f>BS!H88</f>
        <v>481.27838003498232</v>
      </c>
      <c r="I14" s="28">
        <f>BS!I88</f>
        <v>600.28539925512882</v>
      </c>
      <c r="J14" s="28">
        <f>BS!J88</f>
        <v>719.03276711576018</v>
      </c>
      <c r="K14" s="28">
        <f>BS!K88</f>
        <v>825.71108455421313</v>
      </c>
      <c r="L14" s="28">
        <f>BS!L88</f>
        <v>866.54625147057823</v>
      </c>
      <c r="O14" s="4" t="s">
        <v>21</v>
      </c>
      <c r="P14" s="10"/>
      <c r="Q14" s="18">
        <f t="shared" si="3"/>
        <v>0.76201232999199964</v>
      </c>
      <c r="R14" s="18">
        <f t="shared" si="4"/>
        <v>0.10616703613685541</v>
      </c>
      <c r="S14" s="18">
        <f t="shared" si="5"/>
        <v>0.2026270040564031</v>
      </c>
      <c r="T14" s="18">
        <f t="shared" si="6"/>
        <v>0.28266543527144239</v>
      </c>
      <c r="U14" s="14">
        <f t="shared" si="8"/>
        <v>0.31679600305588562</v>
      </c>
    </row>
    <row r="15" spans="2:22" x14ac:dyDescent="0.25">
      <c r="B15" s="107" t="s">
        <v>25</v>
      </c>
      <c r="C15" s="103">
        <f>C13-C14</f>
        <v>1469.1499999999987</v>
      </c>
      <c r="D15" s="103">
        <f t="shared" ref="D15:L15" si="16">D13-D14</f>
        <v>1813.8900000000019</v>
      </c>
      <c r="E15" s="103">
        <f t="shared" si="16"/>
        <v>1525.1000000000001</v>
      </c>
      <c r="F15" s="103">
        <f t="shared" si="16"/>
        <v>2117.9100000000026</v>
      </c>
      <c r="G15" s="103">
        <f t="shared" si="16"/>
        <v>3127.4999999999973</v>
      </c>
      <c r="H15" s="103">
        <f t="shared" si="16"/>
        <v>3921.3112297888756</v>
      </c>
      <c r="I15" s="103">
        <f t="shared" si="16"/>
        <v>4725.5460875798199</v>
      </c>
      <c r="J15" s="103">
        <f t="shared" si="16"/>
        <v>5405.6734427444308</v>
      </c>
      <c r="K15" s="103">
        <f t="shared" si="16"/>
        <v>6217.7010567850075</v>
      </c>
      <c r="L15" s="103">
        <f t="shared" si="16"/>
        <v>7233.3777110695155</v>
      </c>
      <c r="M15" s="104"/>
      <c r="N15" s="104"/>
      <c r="O15" s="107" t="s">
        <v>25</v>
      </c>
      <c r="P15" s="102"/>
      <c r="Q15" s="105">
        <f t="shared" si="3"/>
        <v>0.23465269033114633</v>
      </c>
      <c r="R15" s="105">
        <f t="shared" si="4"/>
        <v>-0.15921031595080271</v>
      </c>
      <c r="S15" s="105">
        <f t="shared" si="5"/>
        <v>0.38870238017179348</v>
      </c>
      <c r="T15" s="105">
        <f t="shared" si="6"/>
        <v>0.47669164412085197</v>
      </c>
      <c r="U15" s="106">
        <f t="shared" si="8"/>
        <v>0.2079050437735164</v>
      </c>
    </row>
    <row r="16" spans="2:22" x14ac:dyDescent="0.25">
      <c r="B16" s="4" t="s">
        <v>22</v>
      </c>
      <c r="C16" s="63">
        <v>47.21</v>
      </c>
      <c r="D16" s="63">
        <v>69.12</v>
      </c>
      <c r="E16" s="63">
        <v>41.65</v>
      </c>
      <c r="F16" s="63">
        <v>53.79</v>
      </c>
      <c r="G16" s="63">
        <v>67.41</v>
      </c>
      <c r="H16" s="28">
        <f>G16</f>
        <v>67.41</v>
      </c>
      <c r="I16" s="28">
        <f t="shared" ref="I16:L16" si="17">H16</f>
        <v>67.41</v>
      </c>
      <c r="J16" s="28">
        <f t="shared" si="17"/>
        <v>67.41</v>
      </c>
      <c r="K16" s="28">
        <f t="shared" si="17"/>
        <v>67.41</v>
      </c>
      <c r="L16" s="28">
        <f t="shared" si="17"/>
        <v>67.41</v>
      </c>
      <c r="O16" s="4" t="s">
        <v>22</v>
      </c>
      <c r="P16" s="10"/>
      <c r="Q16" s="18">
        <f t="shared" si="3"/>
        <v>0.46409658970557088</v>
      </c>
      <c r="R16" s="18">
        <f t="shared" si="4"/>
        <v>-0.3974247685185186</v>
      </c>
      <c r="S16" s="18">
        <f t="shared" si="5"/>
        <v>0.29147659063625442</v>
      </c>
      <c r="T16" s="18">
        <f t="shared" si="6"/>
        <v>0.25320691578360277</v>
      </c>
      <c r="U16" s="14">
        <f t="shared" si="8"/>
        <v>9.3131934026565028E-2</v>
      </c>
    </row>
    <row r="17" spans="2:21" x14ac:dyDescent="0.25">
      <c r="B17" s="107" t="s">
        <v>26</v>
      </c>
      <c r="C17" s="103">
        <f>C15-C16</f>
        <v>1421.9399999999987</v>
      </c>
      <c r="D17" s="103">
        <f t="shared" ref="D17:L17" si="18">D15-D16</f>
        <v>1744.7700000000018</v>
      </c>
      <c r="E17" s="103">
        <f t="shared" si="18"/>
        <v>1483.45</v>
      </c>
      <c r="F17" s="103">
        <f t="shared" si="18"/>
        <v>2064.1200000000026</v>
      </c>
      <c r="G17" s="103">
        <f t="shared" si="18"/>
        <v>3060.0899999999974</v>
      </c>
      <c r="H17" s="103">
        <f t="shared" si="18"/>
        <v>3853.9012297888758</v>
      </c>
      <c r="I17" s="103">
        <f t="shared" si="18"/>
        <v>4658.13608757982</v>
      </c>
      <c r="J17" s="103">
        <f t="shared" si="18"/>
        <v>5338.2634427444309</v>
      </c>
      <c r="K17" s="103">
        <f t="shared" si="18"/>
        <v>6150.2910567850076</v>
      </c>
      <c r="L17" s="103">
        <f t="shared" si="18"/>
        <v>7165.9677110695156</v>
      </c>
      <c r="M17" s="104"/>
      <c r="N17" s="104"/>
      <c r="O17" s="107" t="s">
        <v>26</v>
      </c>
      <c r="P17" s="102"/>
      <c r="Q17" s="105">
        <f t="shared" si="3"/>
        <v>0.22703489598717486</v>
      </c>
      <c r="R17" s="105">
        <f t="shared" si="4"/>
        <v>-0.14977332255827502</v>
      </c>
      <c r="S17" s="105">
        <f t="shared" si="5"/>
        <v>0.39143213455121684</v>
      </c>
      <c r="T17" s="105">
        <f t="shared" si="6"/>
        <v>0.48251555142142588</v>
      </c>
      <c r="U17" s="106">
        <f t="shared" si="8"/>
        <v>0.21119266502355288</v>
      </c>
    </row>
    <row r="18" spans="2:21" x14ac:dyDescent="0.25">
      <c r="B18" s="4" t="s">
        <v>23</v>
      </c>
      <c r="C18" s="63">
        <v>519.48</v>
      </c>
      <c r="D18" s="63">
        <v>443.79</v>
      </c>
      <c r="E18" s="63">
        <v>384.02</v>
      </c>
      <c r="F18" s="63">
        <v>571.72</v>
      </c>
      <c r="G18" s="63">
        <v>681.75</v>
      </c>
      <c r="H18" s="28">
        <f>H17*25%</f>
        <v>963.47530744721894</v>
      </c>
      <c r="I18" s="28">
        <f t="shared" ref="I18:L18" si="19">I17*25%</f>
        <v>1164.534021894955</v>
      </c>
      <c r="J18" s="28">
        <f t="shared" si="19"/>
        <v>1334.5658606861077</v>
      </c>
      <c r="K18" s="28">
        <f t="shared" si="19"/>
        <v>1537.5727641962519</v>
      </c>
      <c r="L18" s="28">
        <f t="shared" si="19"/>
        <v>1791.4919277673789</v>
      </c>
      <c r="O18" s="4" t="s">
        <v>23</v>
      </c>
      <c r="P18" s="10"/>
      <c r="Q18" s="18">
        <f t="shared" si="3"/>
        <v>-0.14570339570339574</v>
      </c>
      <c r="R18" s="18">
        <f t="shared" si="4"/>
        <v>-0.13468081750377436</v>
      </c>
      <c r="S18" s="18">
        <f t="shared" si="5"/>
        <v>0.48877662621738471</v>
      </c>
      <c r="T18" s="18">
        <f t="shared" si="6"/>
        <v>0.19245434828237595</v>
      </c>
      <c r="U18" s="14">
        <f t="shared" si="8"/>
        <v>7.0321079357855532E-2</v>
      </c>
    </row>
    <row r="19" spans="2:21" x14ac:dyDescent="0.25">
      <c r="B19" s="107" t="s">
        <v>27</v>
      </c>
      <c r="C19" s="103">
        <f>C17-C18</f>
        <v>902.45999999999867</v>
      </c>
      <c r="D19" s="103">
        <f t="shared" ref="D19:L19" si="20">D17-D18</f>
        <v>1300.9800000000018</v>
      </c>
      <c r="E19" s="103">
        <f t="shared" si="20"/>
        <v>1099.43</v>
      </c>
      <c r="F19" s="103">
        <f t="shared" si="20"/>
        <v>1492.4000000000026</v>
      </c>
      <c r="G19" s="103">
        <f t="shared" si="20"/>
        <v>2378.3399999999974</v>
      </c>
      <c r="H19" s="103">
        <f t="shared" si="20"/>
        <v>2890.4259223416566</v>
      </c>
      <c r="I19" s="103">
        <f t="shared" si="20"/>
        <v>3493.602065684865</v>
      </c>
      <c r="J19" s="103">
        <f t="shared" si="20"/>
        <v>4003.697582058323</v>
      </c>
      <c r="K19" s="103">
        <f t="shared" si="20"/>
        <v>4612.7182925887555</v>
      </c>
      <c r="L19" s="103">
        <f t="shared" si="20"/>
        <v>5374.4757833021367</v>
      </c>
      <c r="M19" s="104"/>
      <c r="N19" s="104"/>
      <c r="O19" s="107" t="s">
        <v>27</v>
      </c>
      <c r="P19" s="102"/>
      <c r="Q19" s="105">
        <f t="shared" si="3"/>
        <v>0.44159297919021756</v>
      </c>
      <c r="R19" s="105">
        <f t="shared" si="4"/>
        <v>-0.15492167443004623</v>
      </c>
      <c r="S19" s="105">
        <f t="shared" si="5"/>
        <v>0.35743066861919592</v>
      </c>
      <c r="T19" s="105">
        <f t="shared" si="6"/>
        <v>0.59363441436611719</v>
      </c>
      <c r="U19" s="106">
        <f t="shared" si="8"/>
        <v>0.27412340810961666</v>
      </c>
    </row>
    <row r="20" spans="2:21" x14ac:dyDescent="0.25">
      <c r="B20" s="4" t="s">
        <v>28</v>
      </c>
      <c r="C20" s="64">
        <v>0</v>
      </c>
      <c r="D20" s="63">
        <v>0</v>
      </c>
      <c r="E20" s="63">
        <v>0</v>
      </c>
      <c r="F20" s="63">
        <v>0</v>
      </c>
      <c r="G20" s="63">
        <v>0</v>
      </c>
      <c r="H20" s="63">
        <v>0</v>
      </c>
      <c r="I20" s="63">
        <v>0</v>
      </c>
      <c r="J20" s="63">
        <v>0</v>
      </c>
      <c r="K20" s="63">
        <v>0</v>
      </c>
      <c r="L20" s="63">
        <v>0</v>
      </c>
      <c r="O20" s="4" t="s">
        <v>28</v>
      </c>
      <c r="P20" s="9"/>
      <c r="Q20" s="18" t="str">
        <f t="shared" si="3"/>
        <v>-</v>
      </c>
      <c r="R20" s="18" t="str">
        <f t="shared" si="4"/>
        <v>-</v>
      </c>
      <c r="S20" s="18" t="str">
        <f t="shared" si="5"/>
        <v>-</v>
      </c>
      <c r="T20" s="18" t="str">
        <f t="shared" si="6"/>
        <v>-</v>
      </c>
      <c r="U20" s="14" t="str">
        <f t="shared" si="8"/>
        <v>-</v>
      </c>
    </row>
    <row r="21" spans="2:21" x14ac:dyDescent="0.25">
      <c r="B21" s="7" t="s">
        <v>29</v>
      </c>
      <c r="C21" s="12">
        <f>C19-C20</f>
        <v>902.45999999999867</v>
      </c>
      <c r="D21" s="12">
        <f t="shared" ref="D21:L21" si="21">D19-D20</f>
        <v>1300.9800000000018</v>
      </c>
      <c r="E21" s="12">
        <f t="shared" si="21"/>
        <v>1099.43</v>
      </c>
      <c r="F21" s="12">
        <f t="shared" si="21"/>
        <v>1492.4000000000026</v>
      </c>
      <c r="G21" s="12">
        <f t="shared" si="21"/>
        <v>2378.3399999999974</v>
      </c>
      <c r="H21" s="12">
        <f t="shared" si="21"/>
        <v>2890.4259223416566</v>
      </c>
      <c r="I21" s="12">
        <f t="shared" si="21"/>
        <v>3493.602065684865</v>
      </c>
      <c r="J21" s="12">
        <f t="shared" si="21"/>
        <v>4003.697582058323</v>
      </c>
      <c r="K21" s="12">
        <f t="shared" si="21"/>
        <v>4612.7182925887555</v>
      </c>
      <c r="L21" s="12">
        <f t="shared" si="21"/>
        <v>5374.4757833021367</v>
      </c>
      <c r="O21" s="7" t="s">
        <v>29</v>
      </c>
      <c r="P21" s="5"/>
      <c r="Q21" s="18">
        <f t="shared" si="3"/>
        <v>0.44159297919021756</v>
      </c>
      <c r="R21" s="18">
        <f t="shared" si="4"/>
        <v>-0.15492167443004623</v>
      </c>
      <c r="S21" s="18">
        <f t="shared" si="5"/>
        <v>0.35743066861919592</v>
      </c>
      <c r="T21" s="18">
        <f t="shared" si="6"/>
        <v>0.59363441436611719</v>
      </c>
      <c r="U21" s="14">
        <f t="shared" si="8"/>
        <v>0.27412340810961666</v>
      </c>
    </row>
    <row r="22" spans="2:21" x14ac:dyDescent="0.25">
      <c r="B22" s="4" t="s">
        <v>30</v>
      </c>
      <c r="O22" s="4"/>
    </row>
    <row r="23" spans="2:21" x14ac:dyDescent="0.25">
      <c r="B23" s="4" t="s">
        <v>31</v>
      </c>
      <c r="O23" s="4"/>
    </row>
    <row r="24" spans="2:21" x14ac:dyDescent="0.25">
      <c r="B24" s="4"/>
      <c r="H24" t="s">
        <v>173</v>
      </c>
      <c r="O24" s="4"/>
    </row>
    <row r="25" spans="2:21" x14ac:dyDescent="0.25">
      <c r="B25" s="125" t="s">
        <v>171</v>
      </c>
      <c r="C25" s="16">
        <f>C18/C17</f>
        <v>0.36533187054306127</v>
      </c>
      <c r="D25" s="16">
        <f t="shared" ref="D25:G25" si="22">D18/D17</f>
        <v>0.25435444213277369</v>
      </c>
      <c r="E25" s="16">
        <f t="shared" si="22"/>
        <v>0.25886952711584482</v>
      </c>
      <c r="F25" s="16">
        <f t="shared" si="22"/>
        <v>0.27698002054144105</v>
      </c>
      <c r="G25" s="16">
        <f t="shared" si="22"/>
        <v>0.22278756507161573</v>
      </c>
      <c r="H25" s="14"/>
    </row>
    <row r="26" spans="2:21" x14ac:dyDescent="0.25">
      <c r="B26" s="125" t="s">
        <v>172</v>
      </c>
      <c r="C26" s="38">
        <f>C16/C15</f>
        <v>3.2134227274274271E-2</v>
      </c>
      <c r="D26" s="38">
        <f t="shared" ref="D26:G26" si="23">D16/D15</f>
        <v>3.8105949092833595E-2</v>
      </c>
      <c r="E26" s="38">
        <f t="shared" si="23"/>
        <v>2.7309684610845188E-2</v>
      </c>
      <c r="F26" s="38">
        <f t="shared" si="23"/>
        <v>2.5397679788092948E-2</v>
      </c>
      <c r="G26" s="38">
        <f t="shared" si="23"/>
        <v>2.155395683453239E-2</v>
      </c>
      <c r="H26" s="14">
        <f>AVERAGE(C26:G26)</f>
        <v>2.8900299520115674E-2</v>
      </c>
    </row>
    <row r="27" spans="2:21" x14ac:dyDescent="0.25">
      <c r="B27" s="2" t="s">
        <v>117</v>
      </c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  <c r="H27" s="19" t="s">
        <v>116</v>
      </c>
      <c r="I27" s="16"/>
      <c r="J27" s="16"/>
      <c r="K27" s="16"/>
      <c r="L27" s="16"/>
    </row>
    <row r="28" spans="2:21" x14ac:dyDescent="0.25">
      <c r="B28" s="6" t="s">
        <v>11</v>
      </c>
      <c r="C28" s="16">
        <f>C3/C$3</f>
        <v>1</v>
      </c>
      <c r="D28" s="16">
        <f t="shared" ref="D28:G28" si="24">D3/D$3</f>
        <v>1</v>
      </c>
      <c r="E28" s="16">
        <f t="shared" si="24"/>
        <v>1</v>
      </c>
      <c r="F28" s="16">
        <f t="shared" si="24"/>
        <v>1</v>
      </c>
      <c r="G28" s="16">
        <f t="shared" si="24"/>
        <v>1</v>
      </c>
      <c r="H28" s="16">
        <f>AVERAGE(C28:G28)</f>
        <v>1</v>
      </c>
      <c r="I28" s="16"/>
      <c r="J28" s="16"/>
      <c r="K28" s="16"/>
      <c r="L28" s="16"/>
    </row>
    <row r="29" spans="2:21" x14ac:dyDescent="0.25">
      <c r="B29" s="4" t="s">
        <v>12</v>
      </c>
      <c r="C29" s="16">
        <f t="shared" ref="C29:G29" si="25">C4/C$3</f>
        <v>0.99758887381207784</v>
      </c>
      <c r="D29" s="16">
        <f t="shared" si="25"/>
        <v>0.9975936805936898</v>
      </c>
      <c r="E29" s="16">
        <f t="shared" si="25"/>
        <v>0.99193854211732735</v>
      </c>
      <c r="F29" s="16">
        <f t="shared" si="25"/>
        <v>0.99622142835089733</v>
      </c>
      <c r="G29" s="16">
        <f t="shared" si="25"/>
        <v>0.99698991596247521</v>
      </c>
      <c r="H29" s="32">
        <f t="shared" ref="H29:H48" si="26">AVERAGE(C29:G29)</f>
        <v>0.99606648816729348</v>
      </c>
      <c r="I29" s="16"/>
      <c r="J29" s="16"/>
      <c r="K29" s="16"/>
      <c r="L29" s="16"/>
    </row>
    <row r="30" spans="2:21" x14ac:dyDescent="0.25">
      <c r="B30" s="4" t="s">
        <v>13</v>
      </c>
      <c r="C30" s="16">
        <f t="shared" ref="C30:G30" si="27">C5/C$3</f>
        <v>2.4111261879222277E-3</v>
      </c>
      <c r="D30" s="16">
        <f t="shared" si="27"/>
        <v>2.4063194063101805E-3</v>
      </c>
      <c r="E30" s="16">
        <f t="shared" si="27"/>
        <v>8.0614578826727346E-3</v>
      </c>
      <c r="F30" s="16">
        <f t="shared" si="27"/>
        <v>3.7785716491025847E-3</v>
      </c>
      <c r="G30" s="16">
        <f t="shared" si="27"/>
        <v>3.010084037524815E-3</v>
      </c>
      <c r="H30" s="32">
        <f t="shared" si="26"/>
        <v>3.9335118327065086E-3</v>
      </c>
      <c r="I30" s="16"/>
      <c r="J30" s="16"/>
      <c r="K30" s="16"/>
      <c r="L30" s="16"/>
    </row>
    <row r="31" spans="2:21" x14ac:dyDescent="0.25">
      <c r="B31" s="6" t="s">
        <v>14</v>
      </c>
      <c r="C31" s="17">
        <f t="shared" ref="C31:G31" si="28">C6/C$3</f>
        <v>0.84780083848346899</v>
      </c>
      <c r="D31" s="17">
        <f t="shared" si="28"/>
        <v>0.84648091330230524</v>
      </c>
      <c r="E31" s="17">
        <f t="shared" si="28"/>
        <v>0.84450684018049837</v>
      </c>
      <c r="F31" s="17">
        <f t="shared" si="28"/>
        <v>0.84896101339947305</v>
      </c>
      <c r="G31" s="17">
        <f t="shared" si="28"/>
        <v>0.84675078952451666</v>
      </c>
      <c r="H31" s="16">
        <f t="shared" si="26"/>
        <v>0.84690007897805253</v>
      </c>
      <c r="I31" s="16"/>
      <c r="J31" s="16"/>
      <c r="K31" s="16"/>
      <c r="L31" s="16"/>
    </row>
    <row r="32" spans="2:21" x14ac:dyDescent="0.25">
      <c r="B32" s="4" t="s">
        <v>15</v>
      </c>
      <c r="C32" s="16">
        <f t="shared" ref="C32:G32" si="29">C7/C$3</f>
        <v>0.8699747218228614</v>
      </c>
      <c r="D32" s="16">
        <f t="shared" si="29"/>
        <v>0.86006885627426022</v>
      </c>
      <c r="E32" s="16">
        <f t="shared" si="29"/>
        <v>0.85686875571863907</v>
      </c>
      <c r="F32" s="16">
        <f t="shared" si="29"/>
        <v>0.86486066657747407</v>
      </c>
      <c r="G32" s="16">
        <f t="shared" si="29"/>
        <v>0.85840619610927904</v>
      </c>
      <c r="H32" s="16">
        <f t="shared" si="26"/>
        <v>0.86203583930050276</v>
      </c>
      <c r="I32" s="16"/>
      <c r="J32" s="16"/>
      <c r="K32" s="16"/>
      <c r="L32" s="16"/>
    </row>
    <row r="33" spans="2:12" x14ac:dyDescent="0.25">
      <c r="B33" s="4" t="s">
        <v>16</v>
      </c>
      <c r="C33" s="16">
        <f t="shared" ref="C33:G33" si="30">C8/C$3</f>
        <v>-2.2173883339392315E-2</v>
      </c>
      <c r="D33" s="16">
        <f t="shared" si="30"/>
        <v>-1.3587942971954885E-2</v>
      </c>
      <c r="E33" s="16">
        <f t="shared" si="30"/>
        <v>-1.2361915538140625E-2</v>
      </c>
      <c r="F33" s="16">
        <f t="shared" si="30"/>
        <v>-1.5899653178000985E-2</v>
      </c>
      <c r="G33" s="16">
        <f t="shared" si="30"/>
        <v>-1.1655406584762469E-2</v>
      </c>
      <c r="H33" s="16">
        <f t="shared" si="26"/>
        <v>-1.5135760322450256E-2</v>
      </c>
      <c r="I33" s="16"/>
      <c r="J33" s="16"/>
      <c r="K33" s="16"/>
      <c r="L33" s="16"/>
    </row>
    <row r="34" spans="2:12" x14ac:dyDescent="0.25">
      <c r="B34" s="7" t="s">
        <v>17</v>
      </c>
      <c r="C34" s="16">
        <f t="shared" ref="C34:G34" si="31">C9/C$3</f>
        <v>0.15219916151653101</v>
      </c>
      <c r="D34" s="16">
        <f t="shared" si="31"/>
        <v>0.15351908669769471</v>
      </c>
      <c r="E34" s="16">
        <f t="shared" si="31"/>
        <v>0.15549315981950157</v>
      </c>
      <c r="F34" s="16">
        <f t="shared" si="31"/>
        <v>0.151038986600527</v>
      </c>
      <c r="G34" s="16">
        <f t="shared" si="31"/>
        <v>0.15324921047548337</v>
      </c>
      <c r="H34" s="16">
        <f t="shared" si="26"/>
        <v>0.15309992102194753</v>
      </c>
      <c r="I34" s="16"/>
      <c r="J34" s="16"/>
      <c r="K34" s="16"/>
      <c r="L34" s="16"/>
    </row>
    <row r="35" spans="2:12" x14ac:dyDescent="0.25">
      <c r="B35" s="7" t="s">
        <v>20</v>
      </c>
      <c r="C35" s="16">
        <f t="shared" ref="C35:G35" si="32">C10/C$3</f>
        <v>6.8338846259911934E-2</v>
      </c>
      <c r="D35" s="16">
        <f t="shared" si="32"/>
        <v>6.5741977899085396E-2</v>
      </c>
      <c r="E35" s="16">
        <f t="shared" si="32"/>
        <v>7.5816982185579099E-2</v>
      </c>
      <c r="F35" s="16">
        <f t="shared" si="32"/>
        <v>6.6906671949613042E-2</v>
      </c>
      <c r="G35" s="16">
        <f t="shared" si="32"/>
        <v>6.5595814647337963E-2</v>
      </c>
      <c r="H35" s="16">
        <f t="shared" si="26"/>
        <v>6.8480058588305484E-2</v>
      </c>
      <c r="I35" s="16"/>
      <c r="J35" s="16"/>
      <c r="K35" s="16"/>
      <c r="L35" s="16"/>
    </row>
    <row r="36" spans="2:12" x14ac:dyDescent="0.25">
      <c r="B36" s="4" t="s">
        <v>18</v>
      </c>
      <c r="C36" s="16">
        <f t="shared" ref="C36:G36" si="33">C11/C$3</f>
        <v>1.7724146219468835E-2</v>
      </c>
      <c r="D36" s="16">
        <f t="shared" si="33"/>
        <v>1.8295087201501473E-2</v>
      </c>
      <c r="E36" s="16">
        <f t="shared" si="33"/>
        <v>2.2045443433595175E-2</v>
      </c>
      <c r="F36" s="16">
        <f t="shared" si="33"/>
        <v>1.9817802671661451E-2</v>
      </c>
      <c r="G36" s="16">
        <f t="shared" si="33"/>
        <v>1.7383968405055752E-2</v>
      </c>
      <c r="H36" s="16">
        <f t="shared" si="26"/>
        <v>1.9053289586256537E-2</v>
      </c>
      <c r="I36" s="16"/>
      <c r="J36" s="16"/>
      <c r="K36" s="16"/>
      <c r="L36" s="16"/>
    </row>
    <row r="37" spans="2:12" x14ac:dyDescent="0.25">
      <c r="B37" s="4" t="s">
        <v>19</v>
      </c>
      <c r="C37" s="16">
        <f t="shared" ref="C37:G37" si="34">C12/C$3</f>
        <v>5.0614700040443092E-2</v>
      </c>
      <c r="D37" s="16">
        <f t="shared" si="34"/>
        <v>4.7446890697583927E-2</v>
      </c>
      <c r="E37" s="16">
        <f t="shared" si="34"/>
        <v>5.3771538751983934E-2</v>
      </c>
      <c r="F37" s="16">
        <f t="shared" si="34"/>
        <v>4.7088869277951591E-2</v>
      </c>
      <c r="G37" s="16">
        <f t="shared" si="34"/>
        <v>4.8211846242282218E-2</v>
      </c>
      <c r="H37" s="16">
        <f t="shared" si="26"/>
        <v>4.9426769002048954E-2</v>
      </c>
      <c r="I37" s="16"/>
      <c r="J37" s="16"/>
      <c r="K37" s="16"/>
      <c r="L37" s="16"/>
    </row>
    <row r="38" spans="2:12" x14ac:dyDescent="0.25">
      <c r="B38" s="7" t="s">
        <v>24</v>
      </c>
      <c r="C38" s="17">
        <f t="shared" ref="C38:G38" si="35">C13/C$3</f>
        <v>8.3860315256619064E-2</v>
      </c>
      <c r="D38" s="17">
        <f t="shared" si="35"/>
        <v>8.777710879860931E-2</v>
      </c>
      <c r="E38" s="17">
        <f t="shared" si="35"/>
        <v>7.9676177633922471E-2</v>
      </c>
      <c r="F38" s="17">
        <f t="shared" si="35"/>
        <v>8.4132314650913961E-2</v>
      </c>
      <c r="G38" s="17">
        <f t="shared" si="35"/>
        <v>8.7653395828145422E-2</v>
      </c>
      <c r="H38" s="16">
        <f t="shared" si="26"/>
        <v>8.4619862433642043E-2</v>
      </c>
      <c r="I38" s="16"/>
      <c r="J38" s="16"/>
      <c r="K38" s="16"/>
      <c r="L38" s="16"/>
    </row>
    <row r="39" spans="2:12" x14ac:dyDescent="0.25">
      <c r="B39" s="4" t="s">
        <v>21</v>
      </c>
      <c r="C39" s="16">
        <f t="shared" ref="C39:G39" si="36">C14/C$3</f>
        <v>1.0596488183486952E-2</v>
      </c>
      <c r="D39" s="16">
        <f t="shared" si="36"/>
        <v>1.5018337204810713E-2</v>
      </c>
      <c r="E39" s="16">
        <f t="shared" si="36"/>
        <v>1.7016122504906681E-2</v>
      </c>
      <c r="F39" s="16">
        <f t="shared" si="36"/>
        <v>1.601864811460563E-2</v>
      </c>
      <c r="G39" s="16">
        <f t="shared" si="36"/>
        <v>1.4868195369208895E-2</v>
      </c>
      <c r="H39" s="16">
        <f t="shared" si="26"/>
        <v>1.4703558275403775E-2</v>
      </c>
      <c r="I39" s="16"/>
      <c r="J39" s="16"/>
      <c r="K39" s="16"/>
      <c r="L39" s="16"/>
    </row>
    <row r="40" spans="2:12" x14ac:dyDescent="0.25">
      <c r="B40" s="7" t="s">
        <v>25</v>
      </c>
      <c r="C40" s="16">
        <f t="shared" ref="C40:G40" si="37">C15/C$3</f>
        <v>7.3263827073132115E-2</v>
      </c>
      <c r="D40" s="16">
        <f t="shared" si="37"/>
        <v>7.2758771593798593E-2</v>
      </c>
      <c r="E40" s="16">
        <f t="shared" si="37"/>
        <v>6.266005512901579E-2</v>
      </c>
      <c r="F40" s="16">
        <f t="shared" si="37"/>
        <v>6.8113666536308334E-2</v>
      </c>
      <c r="G40" s="16">
        <f t="shared" si="37"/>
        <v>7.2785200458936522E-2</v>
      </c>
      <c r="H40" s="16">
        <f t="shared" si="26"/>
        <v>6.9916304158238268E-2</v>
      </c>
      <c r="I40" s="16"/>
      <c r="J40" s="16"/>
      <c r="K40" s="16"/>
      <c r="L40" s="16"/>
    </row>
    <row r="41" spans="2:12" x14ac:dyDescent="0.25">
      <c r="B41" s="4" t="s">
        <v>22</v>
      </c>
      <c r="C41" s="16">
        <f t="shared" ref="C41:G41" si="38">C16/C$3</f>
        <v>2.3542764701511556E-3</v>
      </c>
      <c r="D41" s="16">
        <f t="shared" si="38"/>
        <v>2.7725420464103962E-3</v>
      </c>
      <c r="E41" s="16">
        <f t="shared" si="38"/>
        <v>1.7112263432715936E-3</v>
      </c>
      <c r="F41" s="16">
        <f t="shared" si="38"/>
        <v>1.7299290918821009E-3</v>
      </c>
      <c r="G41" s="16">
        <f t="shared" si="38"/>
        <v>1.568809068884705E-3</v>
      </c>
      <c r="H41" s="16">
        <f t="shared" si="26"/>
        <v>2.0273566041199903E-3</v>
      </c>
      <c r="I41" s="16"/>
      <c r="J41" s="16"/>
      <c r="K41" s="16"/>
      <c r="L41" s="16"/>
    </row>
    <row r="42" spans="2:12" x14ac:dyDescent="0.25">
      <c r="B42" s="7" t="s">
        <v>26</v>
      </c>
      <c r="C42" s="16">
        <f t="shared" ref="C42:G42" si="39">C17/C$3</f>
        <v>7.0909550602980959E-2</v>
      </c>
      <c r="D42" s="16">
        <f t="shared" si="39"/>
        <v>6.9986229547388187E-2</v>
      </c>
      <c r="E42" s="16">
        <f t="shared" si="39"/>
        <v>6.0948828785744188E-2</v>
      </c>
      <c r="F42" s="16">
        <f t="shared" si="39"/>
        <v>6.638373744442623E-2</v>
      </c>
      <c r="G42" s="16">
        <f t="shared" si="39"/>
        <v>7.1216391390051828E-2</v>
      </c>
      <c r="H42" s="16">
        <f t="shared" si="26"/>
        <v>6.788894755411827E-2</v>
      </c>
      <c r="I42" s="16"/>
      <c r="J42" s="16"/>
      <c r="K42" s="16"/>
      <c r="L42" s="16"/>
    </row>
    <row r="43" spans="2:12" x14ac:dyDescent="0.25">
      <c r="B43" s="4" t="s">
        <v>23</v>
      </c>
      <c r="C43" s="16">
        <f t="shared" ref="C43:G43" si="40">C18/C$3</f>
        <v>2.5905518761154888E-2</v>
      </c>
      <c r="D43" s="16">
        <f t="shared" si="40"/>
        <v>1.7801308373502165E-2</v>
      </c>
      <c r="E43" s="16">
        <f t="shared" si="40"/>
        <v>1.577779448603019E-2</v>
      </c>
      <c r="F43" s="16">
        <f t="shared" si="40"/>
        <v>1.8386968960974807E-2</v>
      </c>
      <c r="G43" s="16">
        <f t="shared" si="40"/>
        <v>1.5866126430976825E-2</v>
      </c>
      <c r="H43" s="16">
        <f t="shared" si="26"/>
        <v>1.8747543402527773E-2</v>
      </c>
      <c r="I43" s="16"/>
      <c r="J43" s="16"/>
      <c r="K43" s="16"/>
      <c r="L43" s="16"/>
    </row>
    <row r="44" spans="2:12" x14ac:dyDescent="0.25">
      <c r="B44" s="7" t="s">
        <v>27</v>
      </c>
      <c r="C44" s="17">
        <f t="shared" ref="C44:G44" si="41">C19/C$3</f>
        <v>4.5004031841826067E-2</v>
      </c>
      <c r="D44" s="17">
        <f t="shared" si="41"/>
        <v>5.2184921173886026E-2</v>
      </c>
      <c r="E44" s="17">
        <f t="shared" si="41"/>
        <v>4.5171034299714002E-2</v>
      </c>
      <c r="F44" s="17">
        <f t="shared" si="41"/>
        <v>4.799676848345142E-2</v>
      </c>
      <c r="G44" s="17">
        <f t="shared" si="41"/>
        <v>5.5350264959074996E-2</v>
      </c>
      <c r="H44" s="16">
        <f t="shared" si="26"/>
        <v>4.9141404151590504E-2</v>
      </c>
      <c r="I44" s="16"/>
      <c r="J44" s="16"/>
      <c r="K44" s="16"/>
      <c r="L44" s="16"/>
    </row>
    <row r="45" spans="2:12" x14ac:dyDescent="0.25">
      <c r="B45" s="4" t="s">
        <v>28</v>
      </c>
      <c r="C45" s="16">
        <f t="shared" ref="C45:G45" si="42">C20/C$3</f>
        <v>0</v>
      </c>
      <c r="D45" s="16">
        <f t="shared" si="42"/>
        <v>0</v>
      </c>
      <c r="E45" s="16">
        <f t="shared" si="42"/>
        <v>0</v>
      </c>
      <c r="F45" s="16">
        <f t="shared" si="42"/>
        <v>0</v>
      </c>
      <c r="G45" s="16">
        <f t="shared" si="42"/>
        <v>0</v>
      </c>
      <c r="H45" s="16">
        <f t="shared" si="26"/>
        <v>0</v>
      </c>
      <c r="I45" s="16"/>
      <c r="J45" s="16"/>
      <c r="K45" s="16"/>
      <c r="L45" s="16"/>
    </row>
    <row r="46" spans="2:12" x14ac:dyDescent="0.25">
      <c r="B46" s="7" t="s">
        <v>29</v>
      </c>
      <c r="C46" s="16">
        <f t="shared" ref="C46:G46" si="43">C21/C$3</f>
        <v>4.5004031841826067E-2</v>
      </c>
      <c r="D46" s="16">
        <f t="shared" si="43"/>
        <v>5.2184921173886026E-2</v>
      </c>
      <c r="E46" s="16">
        <f t="shared" si="43"/>
        <v>4.5171034299714002E-2</v>
      </c>
      <c r="F46" s="16">
        <f t="shared" si="43"/>
        <v>4.799676848345142E-2</v>
      </c>
      <c r="G46" s="16">
        <f t="shared" si="43"/>
        <v>5.5350264959074996E-2</v>
      </c>
      <c r="H46" s="16">
        <f t="shared" si="26"/>
        <v>4.9141404151590504E-2</v>
      </c>
      <c r="I46" s="16"/>
      <c r="J46" s="16"/>
      <c r="K46" s="16"/>
      <c r="L46" s="16"/>
    </row>
    <row r="47" spans="2:12" x14ac:dyDescent="0.25">
      <c r="B47" s="4" t="s">
        <v>30</v>
      </c>
      <c r="C47" s="16">
        <f t="shared" ref="C47:G47" si="44">C22/C$3</f>
        <v>0</v>
      </c>
      <c r="D47" s="16">
        <f t="shared" si="44"/>
        <v>0</v>
      </c>
      <c r="E47" s="16">
        <f t="shared" si="44"/>
        <v>0</v>
      </c>
      <c r="F47" s="16">
        <f t="shared" si="44"/>
        <v>0</v>
      </c>
      <c r="G47" s="16">
        <f t="shared" si="44"/>
        <v>0</v>
      </c>
      <c r="H47" s="16">
        <f t="shared" si="26"/>
        <v>0</v>
      </c>
      <c r="I47" s="16"/>
      <c r="J47" s="16"/>
      <c r="K47" s="16"/>
      <c r="L47" s="16"/>
    </row>
    <row r="48" spans="2:12" x14ac:dyDescent="0.25">
      <c r="B48" s="4" t="s">
        <v>31</v>
      </c>
      <c r="C48" s="16">
        <f t="shared" ref="C48:G48" si="45">C23/C$3</f>
        <v>0</v>
      </c>
      <c r="D48" s="16">
        <f t="shared" si="45"/>
        <v>0</v>
      </c>
      <c r="E48" s="16">
        <f t="shared" si="45"/>
        <v>0</v>
      </c>
      <c r="F48" s="16">
        <f t="shared" si="45"/>
        <v>0</v>
      </c>
      <c r="G48" s="16">
        <f t="shared" si="45"/>
        <v>0</v>
      </c>
      <c r="H48" s="16">
        <f t="shared" si="26"/>
        <v>0</v>
      </c>
      <c r="I48" s="16"/>
      <c r="J48" s="16"/>
      <c r="K48" s="16"/>
      <c r="L48" s="16"/>
    </row>
  </sheetData>
  <mergeCells count="2">
    <mergeCell ref="B1:L1"/>
    <mergeCell ref="M1:N1"/>
  </mergeCells>
  <hyperlinks>
    <hyperlink ref="M1:N1" location="DASHBOARD!A1" display="DASHBOARD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/>
  </sheetPr>
  <dimension ref="B2:N98"/>
  <sheetViews>
    <sheetView showGridLines="0" zoomScale="70" zoomScaleNormal="70" workbookViewId="0">
      <pane ySplit="2" topLeftCell="A3" activePane="bottomLeft" state="frozen"/>
      <selection activeCell="G12" sqref="G12"/>
      <selection pane="bottomLeft" activeCell="N2" sqref="N2"/>
    </sheetView>
  </sheetViews>
  <sheetFormatPr defaultRowHeight="15" x14ac:dyDescent="0.25"/>
  <cols>
    <col min="1" max="1" width="9.140625" style="22"/>
    <col min="2" max="2" width="43.42578125" style="22" customWidth="1"/>
    <col min="3" max="3" width="11.7109375" style="24" bestFit="1" customWidth="1"/>
    <col min="4" max="7" width="13.140625" style="22" bestFit="1" customWidth="1"/>
    <col min="8" max="8" width="13" style="22" bestFit="1" customWidth="1"/>
    <col min="9" max="9" width="14.85546875" style="22" customWidth="1"/>
    <col min="10" max="10" width="14" style="22" customWidth="1"/>
    <col min="11" max="11" width="15" style="22" customWidth="1"/>
    <col min="12" max="12" width="14" style="22" customWidth="1"/>
    <col min="13" max="16384" width="9.140625" style="22"/>
  </cols>
  <sheetData>
    <row r="2" spans="2:14" x14ac:dyDescent="0.25">
      <c r="B2" s="65" t="s">
        <v>0</v>
      </c>
      <c r="C2" s="113" t="s">
        <v>1</v>
      </c>
      <c r="D2" s="113" t="s">
        <v>2</v>
      </c>
      <c r="E2" s="113" t="s">
        <v>3</v>
      </c>
      <c r="F2" s="113" t="s">
        <v>4</v>
      </c>
      <c r="G2" s="113" t="s">
        <v>5</v>
      </c>
      <c r="H2" s="113" t="s">
        <v>6</v>
      </c>
      <c r="I2" s="113" t="s">
        <v>7</v>
      </c>
      <c r="J2" s="113" t="s">
        <v>8</v>
      </c>
      <c r="K2" s="113" t="s">
        <v>9</v>
      </c>
      <c r="L2" s="113" t="s">
        <v>10</v>
      </c>
      <c r="N2" s="185" t="s">
        <v>432</v>
      </c>
    </row>
    <row r="3" spans="2:14" x14ac:dyDescent="0.25">
      <c r="B3" s="108" t="s">
        <v>32</v>
      </c>
      <c r="C3" s="109">
        <f>C4+C11</f>
        <v>7005.7200000000012</v>
      </c>
      <c r="D3" s="109">
        <f t="shared" ref="D3:L3" si="0">D4+D11</f>
        <v>12076.450000000004</v>
      </c>
      <c r="E3" s="109">
        <f t="shared" si="0"/>
        <v>13655.970000000005</v>
      </c>
      <c r="F3" s="109">
        <f t="shared" si="0"/>
        <v>15472.640000000007</v>
      </c>
      <c r="G3" s="109">
        <f t="shared" si="0"/>
        <v>18106.290000000008</v>
      </c>
      <c r="H3" s="109">
        <f t="shared" si="0"/>
        <v>20980.399938656017</v>
      </c>
      <c r="I3" s="109">
        <f t="shared" si="0"/>
        <v>23795.104575602145</v>
      </c>
      <c r="J3" s="109">
        <f t="shared" si="0"/>
        <v>27727.962176982699</v>
      </c>
      <c r="K3" s="109">
        <f t="shared" si="0"/>
        <v>31710.472929420244</v>
      </c>
      <c r="L3" s="109">
        <f t="shared" si="0"/>
        <v>36825.148103920263</v>
      </c>
    </row>
    <row r="4" spans="2:14" x14ac:dyDescent="0.25">
      <c r="B4" s="25" t="s">
        <v>33</v>
      </c>
      <c r="C4" s="23">
        <f>SUM(C5:C10)</f>
        <v>2082.5799999999995</v>
      </c>
      <c r="D4" s="23">
        <f t="shared" ref="D4:L4" si="1">SUM(D5:D10)</f>
        <v>2347.6700000000028</v>
      </c>
      <c r="E4" s="23">
        <f t="shared" si="1"/>
        <v>4061.1300000000028</v>
      </c>
      <c r="F4" s="23">
        <f t="shared" si="1"/>
        <v>3442.8500000000049</v>
      </c>
      <c r="G4" s="23">
        <f t="shared" si="1"/>
        <v>5448.3900000000031</v>
      </c>
      <c r="H4" s="23">
        <f t="shared" si="1"/>
        <v>6407.8242498832951</v>
      </c>
      <c r="I4" s="23">
        <f t="shared" si="1"/>
        <v>6362.3154876655681</v>
      </c>
      <c r="J4" s="23">
        <f t="shared" si="1"/>
        <v>7561.2572276698302</v>
      </c>
      <c r="K4" s="23">
        <f t="shared" si="1"/>
        <v>9267.4755716555956</v>
      </c>
      <c r="L4" s="23">
        <f t="shared" si="1"/>
        <v>14061.287658468513</v>
      </c>
    </row>
    <row r="5" spans="2:14" x14ac:dyDescent="0.25">
      <c r="B5" s="70" t="s">
        <v>34</v>
      </c>
      <c r="C5" s="71">
        <v>1608.65</v>
      </c>
      <c r="D5" s="71">
        <v>1947.4</v>
      </c>
      <c r="E5" s="71">
        <v>2248.2800000000002</v>
      </c>
      <c r="F5" s="71">
        <v>2742.66</v>
      </c>
      <c r="G5" s="71">
        <v>3243.48</v>
      </c>
      <c r="H5" s="72">
        <f>2*(IS!H6/'Ratio Analysis'!$E$32)-BS!G5</f>
        <v>4824.1024994477593</v>
      </c>
      <c r="I5" s="72">
        <f>2*(IS!I6/'Ratio Analysis'!$E$32)-BS!H5</f>
        <v>4935.2865660973548</v>
      </c>
      <c r="J5" s="72">
        <f>2*(IS!J6/'Ratio Analysis'!$E$32)-BS!I5</f>
        <v>6288.0108592795241</v>
      </c>
      <c r="K5" s="72">
        <f>2*(IS!K6/'Ratio Analysis'!$E$32)-BS!J5</f>
        <v>6618.7811799038864</v>
      </c>
      <c r="L5" s="72">
        <f>2*(IS!L6/'Ratio Analysis'!$E$32)-BS!K5</f>
        <v>8224.029665157037</v>
      </c>
    </row>
    <row r="6" spans="2:14" x14ac:dyDescent="0.25">
      <c r="B6" s="70" t="s">
        <v>37</v>
      </c>
      <c r="C6" s="73">
        <f>CF!C58+0.12</f>
        <v>124.97999999999936</v>
      </c>
      <c r="D6" s="73">
        <f>CF!D58+0.01</f>
        <v>105.87000000000255</v>
      </c>
      <c r="E6" s="73">
        <f>CF!E58</f>
        <v>191.50000000000264</v>
      </c>
      <c r="F6" s="73">
        <f>CF!F58</f>
        <v>95.12000000000549</v>
      </c>
      <c r="G6" s="73">
        <f>CF!G58</f>
        <v>207.15000000000251</v>
      </c>
      <c r="H6" s="73">
        <f>CF!H58-99.44</f>
        <v>-486.75934538788471</v>
      </c>
      <c r="I6" s="73">
        <f>CF!I58-482.98</f>
        <v>-612.0514392372578</v>
      </c>
      <c r="J6" s="73">
        <f>CF!J58-773.43</f>
        <v>-832.98894592744682</v>
      </c>
      <c r="K6" s="73">
        <f>CF!K58-1162.81</f>
        <v>568.49667967775667</v>
      </c>
      <c r="L6" s="73">
        <f>CF!L58-1674.3-30.63</f>
        <v>3683.7377250349646</v>
      </c>
    </row>
    <row r="7" spans="2:14" x14ac:dyDescent="0.25">
      <c r="B7" s="70" t="s">
        <v>36</v>
      </c>
      <c r="C7" s="71">
        <v>64.37</v>
      </c>
      <c r="D7" s="71">
        <v>19.55</v>
      </c>
      <c r="E7" s="71">
        <v>43.58</v>
      </c>
      <c r="F7" s="71">
        <v>66.89</v>
      </c>
      <c r="G7" s="71">
        <v>62.16</v>
      </c>
      <c r="H7" s="72">
        <f>2*(IS!H3/'Ratio Analysis'!$E$33)-G7</f>
        <v>134.88109582341997</v>
      </c>
      <c r="I7" s="72">
        <f>2*(IS!I3/'Ratio Analysis'!$E$33)-H7</f>
        <v>103.48036080547035</v>
      </c>
      <c r="J7" s="72">
        <f>2*(IS!J3/'Ratio Analysis'!$E$33)-I7</f>
        <v>170.63531431775351</v>
      </c>
      <c r="K7" s="72">
        <f>2*(IS!K3/'Ratio Analysis'!$E$33)-J7</f>
        <v>144.59771207395386</v>
      </c>
      <c r="L7" s="72">
        <f>2*(IS!L3/'Ratio Analysis'!$E$33)-K7</f>
        <v>217.92026827650966</v>
      </c>
    </row>
    <row r="8" spans="2:14" x14ac:dyDescent="0.25">
      <c r="B8" s="70" t="s">
        <v>35</v>
      </c>
      <c r="C8" s="71">
        <v>16.53</v>
      </c>
      <c r="D8" s="71">
        <v>14.68</v>
      </c>
      <c r="E8" s="71">
        <v>2.95</v>
      </c>
      <c r="F8" s="71">
        <v>5.93</v>
      </c>
      <c r="G8" s="71">
        <v>202.19</v>
      </c>
      <c r="H8" s="22">
        <f>G8</f>
        <v>202.19</v>
      </c>
      <c r="I8" s="22">
        <f t="shared" ref="I8:L8" si="2">H8</f>
        <v>202.19</v>
      </c>
      <c r="J8" s="22">
        <f t="shared" si="2"/>
        <v>202.19</v>
      </c>
      <c r="K8" s="22">
        <f t="shared" si="2"/>
        <v>202.19</v>
      </c>
      <c r="L8" s="22">
        <f t="shared" si="2"/>
        <v>202.19</v>
      </c>
    </row>
    <row r="9" spans="2:14" x14ac:dyDescent="0.25">
      <c r="B9" s="70" t="s">
        <v>39</v>
      </c>
      <c r="C9" s="71">
        <v>94.09</v>
      </c>
      <c r="D9" s="71">
        <v>2.0099999999999998</v>
      </c>
      <c r="E9" s="71">
        <v>1254.08</v>
      </c>
      <c r="F9" s="71">
        <v>203.46</v>
      </c>
      <c r="G9" s="71">
        <v>1201.18</v>
      </c>
      <c r="H9" s="22">
        <f>G9</f>
        <v>1201.18</v>
      </c>
      <c r="I9" s="22">
        <f t="shared" ref="I9:L9" si="3">H9</f>
        <v>1201.18</v>
      </c>
      <c r="J9" s="22">
        <f t="shared" si="3"/>
        <v>1201.18</v>
      </c>
      <c r="K9" s="22">
        <f t="shared" si="3"/>
        <v>1201.18</v>
      </c>
      <c r="L9" s="22">
        <f t="shared" si="3"/>
        <v>1201.18</v>
      </c>
    </row>
    <row r="10" spans="2:14" x14ac:dyDescent="0.25">
      <c r="B10" s="70" t="s">
        <v>38</v>
      </c>
      <c r="C10" s="74">
        <f>59.1 + 114.86</f>
        <v>173.96</v>
      </c>
      <c r="D10" s="71">
        <f>109.06+149.1</f>
        <v>258.15999999999997</v>
      </c>
      <c r="E10" s="71">
        <f>167.91+152.83</f>
        <v>320.74</v>
      </c>
      <c r="F10" s="71">
        <f>127.46+201.33</f>
        <v>328.79</v>
      </c>
      <c r="G10" s="71">
        <f>316.77+215.46</f>
        <v>532.23</v>
      </c>
      <c r="H10" s="22">
        <f>G10</f>
        <v>532.23</v>
      </c>
      <c r="I10" s="22">
        <f t="shared" ref="I10:L10" si="4">H10</f>
        <v>532.23</v>
      </c>
      <c r="J10" s="22">
        <f t="shared" si="4"/>
        <v>532.23</v>
      </c>
      <c r="K10" s="22">
        <f t="shared" si="4"/>
        <v>532.23</v>
      </c>
      <c r="L10" s="22">
        <f t="shared" si="4"/>
        <v>532.23</v>
      </c>
    </row>
    <row r="11" spans="2:14" x14ac:dyDescent="0.25">
      <c r="B11" s="110" t="s">
        <v>40</v>
      </c>
      <c r="C11" s="111">
        <f>SUM(C12:C19)</f>
        <v>4923.1400000000012</v>
      </c>
      <c r="D11" s="111">
        <f t="shared" ref="D11:L11" si="5">SUM(D12:D19)</f>
        <v>9728.7800000000007</v>
      </c>
      <c r="E11" s="111">
        <f t="shared" si="5"/>
        <v>9594.840000000002</v>
      </c>
      <c r="F11" s="111">
        <f t="shared" si="5"/>
        <v>12029.790000000003</v>
      </c>
      <c r="G11" s="111">
        <f t="shared" si="5"/>
        <v>12657.900000000003</v>
      </c>
      <c r="H11" s="111">
        <f t="shared" si="5"/>
        <v>14572.57568877272</v>
      </c>
      <c r="I11" s="111">
        <f t="shared" si="5"/>
        <v>17432.789087936577</v>
      </c>
      <c r="J11" s="111">
        <f t="shared" si="5"/>
        <v>20166.704949312869</v>
      </c>
      <c r="K11" s="111">
        <f t="shared" si="5"/>
        <v>22442.997357764649</v>
      </c>
      <c r="L11" s="111">
        <f t="shared" si="5"/>
        <v>22763.860445451752</v>
      </c>
    </row>
    <row r="12" spans="2:14" x14ac:dyDescent="0.25">
      <c r="B12" s="70" t="s">
        <v>41</v>
      </c>
      <c r="C12" s="75">
        <f>C93</f>
        <v>4274.0300000000007</v>
      </c>
      <c r="D12" s="75">
        <f t="shared" ref="D12:L12" si="6">D93</f>
        <v>5107.3600000000006</v>
      </c>
      <c r="E12" s="75">
        <f t="shared" si="6"/>
        <v>5938.5000000000018</v>
      </c>
      <c r="F12" s="75">
        <f t="shared" si="6"/>
        <v>7770.4600000000019</v>
      </c>
      <c r="G12" s="75">
        <f t="shared" si="6"/>
        <v>9725.61</v>
      </c>
      <c r="H12" s="75">
        <f t="shared" si="6"/>
        <v>11640.285688772718</v>
      </c>
      <c r="I12" s="75">
        <f t="shared" si="6"/>
        <v>14500.499087936574</v>
      </c>
      <c r="J12" s="75">
        <f t="shared" si="6"/>
        <v>17234.414949312864</v>
      </c>
      <c r="K12" s="75">
        <f t="shared" si="6"/>
        <v>19510.707357764644</v>
      </c>
      <c r="L12" s="75">
        <f t="shared" si="6"/>
        <v>19831.570445451747</v>
      </c>
    </row>
    <row r="13" spans="2:14" x14ac:dyDescent="0.25">
      <c r="B13" s="70" t="s">
        <v>42</v>
      </c>
      <c r="C13" s="71">
        <v>376.84</v>
      </c>
      <c r="D13" s="71">
        <v>364.4</v>
      </c>
      <c r="E13" s="71">
        <v>1019.59</v>
      </c>
      <c r="F13" s="71">
        <v>1129.3399999999999</v>
      </c>
      <c r="G13" s="71">
        <v>829.16</v>
      </c>
      <c r="H13" s="22">
        <f t="shared" ref="H13:H19" si="7">G13</f>
        <v>829.16</v>
      </c>
      <c r="I13" s="22">
        <f t="shared" ref="I13:L13" si="8">H13</f>
        <v>829.16</v>
      </c>
      <c r="J13" s="22">
        <f t="shared" si="8"/>
        <v>829.16</v>
      </c>
      <c r="K13" s="22">
        <f t="shared" si="8"/>
        <v>829.16</v>
      </c>
      <c r="L13" s="22">
        <f t="shared" si="8"/>
        <v>829.16</v>
      </c>
    </row>
    <row r="14" spans="2:14" x14ac:dyDescent="0.25">
      <c r="B14" s="70" t="s">
        <v>43</v>
      </c>
      <c r="C14" s="74">
        <v>0</v>
      </c>
      <c r="D14" s="71">
        <v>717.33</v>
      </c>
      <c r="E14" s="71">
        <v>960.24</v>
      </c>
      <c r="F14" s="71">
        <v>1388.65</v>
      </c>
      <c r="G14" s="71">
        <v>1504.88</v>
      </c>
      <c r="H14" s="22">
        <f t="shared" si="7"/>
        <v>1504.88</v>
      </c>
      <c r="I14" s="22">
        <f t="shared" ref="I14:L14" si="9">H14</f>
        <v>1504.88</v>
      </c>
      <c r="J14" s="22">
        <f t="shared" si="9"/>
        <v>1504.88</v>
      </c>
      <c r="K14" s="22">
        <f t="shared" si="9"/>
        <v>1504.88</v>
      </c>
      <c r="L14" s="22">
        <f t="shared" si="9"/>
        <v>1504.88</v>
      </c>
    </row>
    <row r="15" spans="2:14" x14ac:dyDescent="0.25">
      <c r="B15" s="70" t="s">
        <v>44</v>
      </c>
      <c r="C15" s="71">
        <v>18.100000000000001</v>
      </c>
      <c r="D15" s="71">
        <v>16.53</v>
      </c>
      <c r="E15" s="71">
        <v>9.57</v>
      </c>
      <c r="F15" s="71">
        <v>9.0299999999999994</v>
      </c>
      <c r="G15" s="71">
        <v>8.5399999999999991</v>
      </c>
      <c r="H15" s="22">
        <f t="shared" si="7"/>
        <v>8.5399999999999991</v>
      </c>
      <c r="I15" s="22">
        <f t="shared" ref="I15:L15" si="10">H15</f>
        <v>8.5399999999999991</v>
      </c>
      <c r="J15" s="22">
        <f t="shared" si="10"/>
        <v>8.5399999999999991</v>
      </c>
      <c r="K15" s="22">
        <f t="shared" si="10"/>
        <v>8.5399999999999991</v>
      </c>
      <c r="L15" s="22">
        <f t="shared" si="10"/>
        <v>8.5399999999999991</v>
      </c>
    </row>
    <row r="16" spans="2:14" x14ac:dyDescent="0.25">
      <c r="B16" s="70" t="s">
        <v>45</v>
      </c>
      <c r="C16" s="71">
        <v>78.27</v>
      </c>
      <c r="D16" s="71">
        <v>78.27</v>
      </c>
      <c r="E16" s="71">
        <v>78.27</v>
      </c>
      <c r="F16" s="71">
        <v>78.27</v>
      </c>
      <c r="G16" s="71">
        <v>78.27</v>
      </c>
      <c r="H16" s="22">
        <f t="shared" si="7"/>
        <v>78.27</v>
      </c>
      <c r="I16" s="22">
        <f t="shared" ref="I16:L19" si="11">H16</f>
        <v>78.27</v>
      </c>
      <c r="J16" s="22">
        <f t="shared" si="11"/>
        <v>78.27</v>
      </c>
      <c r="K16" s="22">
        <f t="shared" si="11"/>
        <v>78.27</v>
      </c>
      <c r="L16" s="22">
        <f t="shared" si="11"/>
        <v>78.27</v>
      </c>
    </row>
    <row r="17" spans="2:12" x14ac:dyDescent="0.25">
      <c r="B17" s="70" t="s">
        <v>46</v>
      </c>
      <c r="C17" s="71">
        <v>29.97</v>
      </c>
      <c r="D17" s="71">
        <v>28.54</v>
      </c>
      <c r="E17" s="71">
        <v>22.22</v>
      </c>
      <c r="F17" s="71">
        <v>13.61</v>
      </c>
      <c r="G17" s="71">
        <v>23.18</v>
      </c>
      <c r="H17" s="22">
        <f t="shared" si="7"/>
        <v>23.18</v>
      </c>
      <c r="I17" s="22">
        <f t="shared" si="11"/>
        <v>23.18</v>
      </c>
      <c r="J17" s="22">
        <f t="shared" si="11"/>
        <v>23.18</v>
      </c>
      <c r="K17" s="22">
        <f t="shared" si="11"/>
        <v>23.18</v>
      </c>
      <c r="L17" s="22">
        <f t="shared" si="11"/>
        <v>23.18</v>
      </c>
    </row>
    <row r="18" spans="2:12" x14ac:dyDescent="0.25">
      <c r="B18" s="70" t="s">
        <v>47</v>
      </c>
      <c r="C18" s="71">
        <v>31.74</v>
      </c>
      <c r="D18" s="71">
        <v>3122.67</v>
      </c>
      <c r="E18" s="71">
        <v>1109.28</v>
      </c>
      <c r="F18" s="71">
        <f>0.01+1262.7</f>
        <v>1262.71</v>
      </c>
      <c r="G18" s="71">
        <f>0.01+108.55</f>
        <v>108.56</v>
      </c>
      <c r="H18" s="22">
        <f t="shared" si="7"/>
        <v>108.56</v>
      </c>
      <c r="I18" s="22">
        <f t="shared" si="11"/>
        <v>108.56</v>
      </c>
      <c r="J18" s="22">
        <f t="shared" si="11"/>
        <v>108.56</v>
      </c>
      <c r="K18" s="22">
        <f t="shared" si="11"/>
        <v>108.56</v>
      </c>
      <c r="L18" s="22">
        <f t="shared" si="11"/>
        <v>108.56</v>
      </c>
    </row>
    <row r="19" spans="2:12" x14ac:dyDescent="0.25">
      <c r="B19" s="70" t="s">
        <v>48</v>
      </c>
      <c r="C19" s="71">
        <f>0.64+0.22 +113.33</f>
        <v>114.19</v>
      </c>
      <c r="D19" s="71">
        <f>8.25+0.29+285.14</f>
        <v>293.68</v>
      </c>
      <c r="E19" s="71">
        <f>1.63+0.92+454.62</f>
        <v>457.17</v>
      </c>
      <c r="F19" s="71">
        <f>2.28+1.66+373.78</f>
        <v>377.71999999999997</v>
      </c>
      <c r="G19" s="71">
        <f>17.5+1.77+360.43</f>
        <v>379.7</v>
      </c>
      <c r="H19" s="22">
        <f t="shared" si="7"/>
        <v>379.7</v>
      </c>
      <c r="I19" s="22">
        <f t="shared" si="11"/>
        <v>379.7</v>
      </c>
      <c r="J19" s="22">
        <f t="shared" si="11"/>
        <v>379.7</v>
      </c>
      <c r="K19" s="22">
        <f t="shared" si="11"/>
        <v>379.7</v>
      </c>
      <c r="L19" s="22">
        <f t="shared" si="11"/>
        <v>379.7</v>
      </c>
    </row>
    <row r="21" spans="2:12" x14ac:dyDescent="0.25">
      <c r="B21" s="108" t="s">
        <v>49</v>
      </c>
      <c r="C21" s="109">
        <f>C22+C33</f>
        <v>7005.72</v>
      </c>
      <c r="D21" s="109">
        <f t="shared" ref="D21:L21" si="12">D22+D33</f>
        <v>12076.449999999999</v>
      </c>
      <c r="E21" s="109">
        <f t="shared" si="12"/>
        <v>13655.970000000001</v>
      </c>
      <c r="F21" s="109">
        <f t="shared" si="12"/>
        <v>15472.640000000001</v>
      </c>
      <c r="G21" s="109">
        <f t="shared" si="12"/>
        <v>18106.29</v>
      </c>
      <c r="H21" s="109">
        <f t="shared" si="12"/>
        <v>20980.394016314349</v>
      </c>
      <c r="I21" s="109">
        <f t="shared" si="12"/>
        <v>23795.102509917269</v>
      </c>
      <c r="J21" s="109">
        <f t="shared" si="12"/>
        <v>27727.954594924369</v>
      </c>
      <c r="K21" s="109">
        <f t="shared" si="12"/>
        <v>31710.464636831482</v>
      </c>
      <c r="L21" s="109">
        <f t="shared" si="12"/>
        <v>36825.142320618121</v>
      </c>
    </row>
    <row r="22" spans="2:12" x14ac:dyDescent="0.25">
      <c r="B22" s="108" t="s">
        <v>50</v>
      </c>
      <c r="C22" s="109">
        <f>C23+C28</f>
        <v>1417.71</v>
      </c>
      <c r="D22" s="109">
        <f t="shared" ref="D22:L22" si="13">D23+D28</f>
        <v>996.25</v>
      </c>
      <c r="E22" s="109">
        <f t="shared" si="13"/>
        <v>1471.86</v>
      </c>
      <c r="F22" s="109">
        <f t="shared" si="13"/>
        <v>1794.75</v>
      </c>
      <c r="G22" s="109">
        <f t="shared" si="13"/>
        <v>2027.5099999999998</v>
      </c>
      <c r="H22" s="109">
        <f t="shared" si="13"/>
        <v>2523.354016314353</v>
      </c>
      <c r="I22" s="109">
        <f t="shared" si="13"/>
        <v>2447.6365875756173</v>
      </c>
      <c r="J22" s="109">
        <f t="shared" si="13"/>
        <v>2886.8866068978477</v>
      </c>
      <c r="K22" s="109">
        <f t="shared" si="13"/>
        <v>2865.6990667466371</v>
      </c>
      <c r="L22" s="109">
        <f t="shared" si="13"/>
        <v>3367.6584579445207</v>
      </c>
    </row>
    <row r="23" spans="2:12" x14ac:dyDescent="0.25">
      <c r="B23" s="84" t="s">
        <v>51</v>
      </c>
      <c r="C23" s="23">
        <f>SUM(C24:C27)</f>
        <v>1226.92</v>
      </c>
      <c r="D23" s="23">
        <f t="shared" ref="D23:L23" si="14">SUM(D24:D27)</f>
        <v>725.8</v>
      </c>
      <c r="E23" s="23">
        <f t="shared" si="14"/>
        <v>1105.77</v>
      </c>
      <c r="F23" s="23">
        <f t="shared" si="14"/>
        <v>1218.29</v>
      </c>
      <c r="G23" s="23">
        <f t="shared" si="14"/>
        <v>1467.0099999999998</v>
      </c>
      <c r="H23" s="23">
        <f t="shared" si="14"/>
        <v>1962.854016314353</v>
      </c>
      <c r="I23" s="23">
        <f t="shared" si="14"/>
        <v>1887.1365875756173</v>
      </c>
      <c r="J23" s="23">
        <f t="shared" si="14"/>
        <v>2326.3866068978477</v>
      </c>
      <c r="K23" s="23">
        <f t="shared" si="14"/>
        <v>2305.1990667466371</v>
      </c>
      <c r="L23" s="23">
        <f t="shared" si="14"/>
        <v>2807.1584579445207</v>
      </c>
    </row>
    <row r="24" spans="2:12" x14ac:dyDescent="0.25">
      <c r="B24" s="70" t="s">
        <v>53</v>
      </c>
      <c r="C24" s="71">
        <v>304.14999999999998</v>
      </c>
      <c r="D24" s="71">
        <v>3.73</v>
      </c>
      <c r="E24" s="71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</row>
    <row r="25" spans="2:12" x14ac:dyDescent="0.25">
      <c r="B25" s="70" t="s">
        <v>52</v>
      </c>
      <c r="C25" s="74">
        <v>0</v>
      </c>
      <c r="D25" s="71">
        <v>74.349999999999994</v>
      </c>
      <c r="E25" s="71">
        <v>80.7</v>
      </c>
      <c r="F25" s="71">
        <v>139.79</v>
      </c>
      <c r="G25" s="71">
        <v>166.32</v>
      </c>
      <c r="H25" s="22">
        <f>G25</f>
        <v>166.32</v>
      </c>
      <c r="I25" s="22">
        <f t="shared" ref="I25:L25" si="15">H25</f>
        <v>166.32</v>
      </c>
      <c r="J25" s="22">
        <f t="shared" si="15"/>
        <v>166.32</v>
      </c>
      <c r="K25" s="22">
        <f t="shared" si="15"/>
        <v>166.32</v>
      </c>
      <c r="L25" s="22">
        <f t="shared" si="15"/>
        <v>166.32</v>
      </c>
    </row>
    <row r="26" spans="2:12" x14ac:dyDescent="0.25">
      <c r="B26" s="70" t="s">
        <v>54</v>
      </c>
      <c r="C26" s="74">
        <f>5.44 +457.83</f>
        <v>463.27</v>
      </c>
      <c r="D26" s="71">
        <f>17.47+415.98</f>
        <v>433.45000000000005</v>
      </c>
      <c r="E26" s="71">
        <f>21.95+556.18</f>
        <v>578.13</v>
      </c>
      <c r="F26" s="71">
        <f>32.39+556.81</f>
        <v>589.19999999999993</v>
      </c>
      <c r="G26" s="71">
        <f>76.29+677.5</f>
        <v>753.79</v>
      </c>
      <c r="H26" s="72">
        <f>2*(IS!H6/'Ratio Analysis'!$E$31)-G26</f>
        <v>1249.6340163143529</v>
      </c>
      <c r="I26" s="72">
        <f>2*(IS!I6/'Ratio Analysis'!$E$31)-H26</f>
        <v>1173.9165875756173</v>
      </c>
      <c r="J26" s="72">
        <f>2*(IS!J6/'Ratio Analysis'!$E$31)-I26</f>
        <v>1613.1666068978477</v>
      </c>
      <c r="K26" s="72">
        <f>2*(IS!K6/'Ratio Analysis'!$E$31)-J26</f>
        <v>1591.979066746637</v>
      </c>
      <c r="L26" s="72">
        <f>2*(IS!L6/'Ratio Analysis'!$E$31)-K26</f>
        <v>2093.9384579445205</v>
      </c>
    </row>
    <row r="27" spans="2:12" x14ac:dyDescent="0.25">
      <c r="B27" s="70" t="s">
        <v>55</v>
      </c>
      <c r="C27" s="71">
        <f>396.93+26.78+22.95 +12.84</f>
        <v>459.5</v>
      </c>
      <c r="D27" s="71">
        <f>177.94+0.45+20.7+15.18</f>
        <v>214.26999999999998</v>
      </c>
      <c r="E27" s="71">
        <f>269.78+112.66+40.73+23.77</f>
        <v>446.93999999999994</v>
      </c>
      <c r="F27" s="71">
        <f>282.92+58.37 +36.44 +111.57</f>
        <v>489.3</v>
      </c>
      <c r="G27" s="71">
        <f>289.46+121.18+50.87+85.39</f>
        <v>546.9</v>
      </c>
      <c r="H27" s="22">
        <f>G27</f>
        <v>546.9</v>
      </c>
      <c r="I27" s="22">
        <f t="shared" ref="I27:L27" si="16">H27</f>
        <v>546.9</v>
      </c>
      <c r="J27" s="22">
        <f t="shared" si="16"/>
        <v>546.9</v>
      </c>
      <c r="K27" s="22">
        <f t="shared" si="16"/>
        <v>546.9</v>
      </c>
      <c r="L27" s="22">
        <f t="shared" si="16"/>
        <v>546.9</v>
      </c>
    </row>
    <row r="28" spans="2:12" x14ac:dyDescent="0.25">
      <c r="B28" s="110" t="s">
        <v>56</v>
      </c>
      <c r="C28" s="111">
        <f>SUM(C29:C31)</f>
        <v>190.79000000000002</v>
      </c>
      <c r="D28" s="111">
        <f t="shared" ref="D28:L28" si="17">SUM(D29:D31)</f>
        <v>270.45000000000005</v>
      </c>
      <c r="E28" s="111">
        <f t="shared" si="17"/>
        <v>366.09</v>
      </c>
      <c r="F28" s="111">
        <f t="shared" si="17"/>
        <v>576.46</v>
      </c>
      <c r="G28" s="111">
        <f>SUM(G30:G31)</f>
        <v>560.5</v>
      </c>
      <c r="H28" s="111">
        <f t="shared" si="17"/>
        <v>560.5</v>
      </c>
      <c r="I28" s="111">
        <f t="shared" si="17"/>
        <v>560.5</v>
      </c>
      <c r="J28" s="111">
        <f t="shared" si="17"/>
        <v>560.5</v>
      </c>
      <c r="K28" s="111">
        <f t="shared" si="17"/>
        <v>560.5</v>
      </c>
      <c r="L28" s="111">
        <f t="shared" si="17"/>
        <v>560.5</v>
      </c>
    </row>
    <row r="29" spans="2:12" x14ac:dyDescent="0.25">
      <c r="B29" s="70" t="s">
        <v>57</v>
      </c>
      <c r="C29" s="71">
        <v>125.67</v>
      </c>
      <c r="D29" s="71">
        <v>0</v>
      </c>
      <c r="E29" s="71">
        <v>0</v>
      </c>
      <c r="F29" s="71">
        <v>0</v>
      </c>
      <c r="G29" s="71">
        <v>0</v>
      </c>
      <c r="H29" s="71">
        <v>0</v>
      </c>
      <c r="I29" s="71">
        <v>0</v>
      </c>
      <c r="J29" s="71">
        <v>0</v>
      </c>
      <c r="K29" s="71">
        <v>0</v>
      </c>
      <c r="L29" s="71">
        <v>0</v>
      </c>
    </row>
    <row r="30" spans="2:12" x14ac:dyDescent="0.25">
      <c r="B30" s="70" t="s">
        <v>58</v>
      </c>
      <c r="C30" s="74">
        <v>0</v>
      </c>
      <c r="D30" s="71">
        <v>221.11</v>
      </c>
      <c r="E30" s="71">
        <v>312.01</v>
      </c>
      <c r="F30" s="71">
        <v>507.15</v>
      </c>
      <c r="G30" s="71">
        <v>476.66</v>
      </c>
      <c r="H30" s="22">
        <f>G30</f>
        <v>476.66</v>
      </c>
      <c r="I30" s="22">
        <f t="shared" ref="I30:L30" si="18">H30</f>
        <v>476.66</v>
      </c>
      <c r="J30" s="22">
        <f t="shared" si="18"/>
        <v>476.66</v>
      </c>
      <c r="K30" s="22">
        <f t="shared" si="18"/>
        <v>476.66</v>
      </c>
      <c r="L30" s="22">
        <f t="shared" si="18"/>
        <v>476.66</v>
      </c>
    </row>
    <row r="31" spans="2:12" x14ac:dyDescent="0.25">
      <c r="B31" s="70" t="s">
        <v>59</v>
      </c>
      <c r="C31" s="74">
        <f>0.78 +1.05 +63.29</f>
        <v>65.12</v>
      </c>
      <c r="D31" s="71">
        <f>0.47+1.48+47.39</f>
        <v>49.34</v>
      </c>
      <c r="E31" s="71">
        <f>0.44+2.45+51.19</f>
        <v>54.08</v>
      </c>
      <c r="F31" s="71">
        <f>0.41+4.87+64.03</f>
        <v>69.31</v>
      </c>
      <c r="G31" s="71">
        <f>0.47 +6.41+76.96</f>
        <v>83.839999999999989</v>
      </c>
      <c r="H31" s="22">
        <f>G31</f>
        <v>83.839999999999989</v>
      </c>
      <c r="I31" s="22">
        <f t="shared" ref="I31:L31" si="19">H31</f>
        <v>83.839999999999989</v>
      </c>
      <c r="J31" s="22">
        <f t="shared" si="19"/>
        <v>83.839999999999989</v>
      </c>
      <c r="K31" s="22">
        <f t="shared" si="19"/>
        <v>83.839999999999989</v>
      </c>
      <c r="L31" s="22">
        <f t="shared" si="19"/>
        <v>83.839999999999989</v>
      </c>
    </row>
    <row r="32" spans="2:12" x14ac:dyDescent="0.25">
      <c r="C32" s="74"/>
      <c r="D32" s="71"/>
      <c r="E32" s="71"/>
      <c r="F32" s="71"/>
      <c r="G32" s="71"/>
    </row>
    <row r="33" spans="2:12" x14ac:dyDescent="0.25">
      <c r="B33" s="112" t="s">
        <v>60</v>
      </c>
      <c r="C33" s="109">
        <f>C34+C37</f>
        <v>5588.01</v>
      </c>
      <c r="D33" s="109">
        <f t="shared" ref="D33:L33" si="20">D34+D37</f>
        <v>11080.199999999999</v>
      </c>
      <c r="E33" s="109">
        <f t="shared" si="20"/>
        <v>12184.11</v>
      </c>
      <c r="F33" s="109">
        <f t="shared" si="20"/>
        <v>13677.890000000001</v>
      </c>
      <c r="G33" s="109">
        <f t="shared" si="20"/>
        <v>16078.78</v>
      </c>
      <c r="H33" s="109">
        <f t="shared" si="20"/>
        <v>18457.039999999997</v>
      </c>
      <c r="I33" s="109">
        <f t="shared" si="20"/>
        <v>21347.465922341653</v>
      </c>
      <c r="J33" s="109">
        <f t="shared" si="20"/>
        <v>24841.06798802652</v>
      </c>
      <c r="K33" s="109">
        <f t="shared" si="20"/>
        <v>28844.765570084845</v>
      </c>
      <c r="L33" s="109">
        <f t="shared" si="20"/>
        <v>33457.483862673602</v>
      </c>
    </row>
    <row r="34" spans="2:12" x14ac:dyDescent="0.25">
      <c r="B34" s="112" t="s">
        <v>85</v>
      </c>
      <c r="C34" s="109">
        <f>C35+C36</f>
        <v>5587.45</v>
      </c>
      <c r="D34" s="109">
        <f t="shared" ref="D34:L34" si="21">D35+D36</f>
        <v>11079.74</v>
      </c>
      <c r="E34" s="109">
        <f t="shared" si="21"/>
        <v>12183.710000000001</v>
      </c>
      <c r="F34" s="109">
        <f t="shared" si="21"/>
        <v>13677.640000000001</v>
      </c>
      <c r="G34" s="109">
        <f t="shared" si="21"/>
        <v>16078.7</v>
      </c>
      <c r="H34" s="109">
        <f t="shared" si="21"/>
        <v>18457.039999999997</v>
      </c>
      <c r="I34" s="109">
        <f t="shared" si="21"/>
        <v>21347.465922341653</v>
      </c>
      <c r="J34" s="109">
        <f t="shared" si="21"/>
        <v>24841.06798802652</v>
      </c>
      <c r="K34" s="109">
        <f t="shared" si="21"/>
        <v>28844.765570084845</v>
      </c>
      <c r="L34" s="109">
        <f t="shared" si="21"/>
        <v>33457.483862673602</v>
      </c>
    </row>
    <row r="35" spans="2:12" x14ac:dyDescent="0.25">
      <c r="B35" s="70" t="s">
        <v>61</v>
      </c>
      <c r="C35" s="71">
        <v>624.08000000000004</v>
      </c>
      <c r="D35" s="71">
        <v>647.77</v>
      </c>
      <c r="E35" s="71">
        <v>647.77</v>
      </c>
      <c r="F35" s="71">
        <v>647.77</v>
      </c>
      <c r="G35" s="71">
        <v>648.26</v>
      </c>
      <c r="H35" s="22">
        <f>G35</f>
        <v>648.26</v>
      </c>
      <c r="I35" s="22">
        <f t="shared" ref="I35:L35" si="22">H35</f>
        <v>648.26</v>
      </c>
      <c r="J35" s="22">
        <f t="shared" si="22"/>
        <v>648.26</v>
      </c>
      <c r="K35" s="22">
        <f t="shared" si="22"/>
        <v>648.26</v>
      </c>
      <c r="L35" s="22">
        <f t="shared" si="22"/>
        <v>648.26</v>
      </c>
    </row>
    <row r="36" spans="2:12" x14ac:dyDescent="0.25">
      <c r="B36" s="70" t="s">
        <v>62</v>
      </c>
      <c r="C36" s="71">
        <v>4963.37</v>
      </c>
      <c r="D36" s="71">
        <v>10431.969999999999</v>
      </c>
      <c r="E36" s="71">
        <v>11535.94</v>
      </c>
      <c r="F36" s="71">
        <v>13029.87</v>
      </c>
      <c r="G36" s="71">
        <v>15430.44</v>
      </c>
      <c r="H36" s="22">
        <f>G36+IS!G21</f>
        <v>17808.78</v>
      </c>
      <c r="I36" s="22">
        <f>H36+IS!H21</f>
        <v>20699.205922341655</v>
      </c>
      <c r="J36" s="22">
        <f>I36+IS!I21</f>
        <v>24192.807988026521</v>
      </c>
      <c r="K36" s="22">
        <f>J36+IS!J21</f>
        <v>28196.505570084846</v>
      </c>
      <c r="L36" s="22">
        <f>K36+IS!K21</f>
        <v>32809.2238626736</v>
      </c>
    </row>
    <row r="37" spans="2:12" x14ac:dyDescent="0.25">
      <c r="B37" s="70" t="s">
        <v>63</v>
      </c>
      <c r="C37" s="71">
        <v>0.56000000000000005</v>
      </c>
      <c r="D37" s="71">
        <v>0.46</v>
      </c>
      <c r="E37" s="71">
        <v>0.4</v>
      </c>
      <c r="F37" s="71">
        <v>0.25</v>
      </c>
      <c r="G37" s="71">
        <v>0.08</v>
      </c>
      <c r="H37" s="71">
        <v>0</v>
      </c>
      <c r="I37" s="71">
        <v>0</v>
      </c>
      <c r="J37" s="71">
        <v>0</v>
      </c>
      <c r="K37" s="71">
        <v>0</v>
      </c>
      <c r="L37" s="71">
        <v>0</v>
      </c>
    </row>
    <row r="39" spans="2:12" x14ac:dyDescent="0.25">
      <c r="B39" s="70" t="s">
        <v>114</v>
      </c>
      <c r="C39" s="76" t="b">
        <f>IF(C21=C3,TRUE,FALSE)</f>
        <v>1</v>
      </c>
      <c r="D39" s="76" t="b">
        <f t="shared" ref="D39:G39" si="23">IF(D21=D3,TRUE,FALSE)</f>
        <v>1</v>
      </c>
      <c r="E39" s="76" t="b">
        <f t="shared" si="23"/>
        <v>1</v>
      </c>
      <c r="F39" s="76" t="b">
        <f t="shared" si="23"/>
        <v>1</v>
      </c>
      <c r="G39" s="76" t="b">
        <f t="shared" si="23"/>
        <v>1</v>
      </c>
      <c r="H39" s="76" t="b">
        <f>ROUND(H3,0)=ROUND(H21,0)</f>
        <v>1</v>
      </c>
      <c r="I39" s="76" t="b">
        <f t="shared" ref="I39:L39" si="24">ROUND(I3,0)=ROUND(I21,0)</f>
        <v>1</v>
      </c>
      <c r="J39" s="76" t="b">
        <f t="shared" si="24"/>
        <v>1</v>
      </c>
      <c r="K39" s="76" t="b">
        <f t="shared" si="24"/>
        <v>1</v>
      </c>
      <c r="L39" s="76" t="b">
        <f t="shared" si="24"/>
        <v>1</v>
      </c>
    </row>
    <row r="41" spans="2:12" x14ac:dyDescent="0.25">
      <c r="B41" s="77" t="s">
        <v>118</v>
      </c>
      <c r="C41" s="66" t="s">
        <v>1</v>
      </c>
      <c r="D41" s="66" t="s">
        <v>2</v>
      </c>
      <c r="E41" s="66" t="s">
        <v>3</v>
      </c>
      <c r="F41" s="66" t="s">
        <v>4</v>
      </c>
      <c r="G41" s="66" t="s">
        <v>5</v>
      </c>
    </row>
    <row r="42" spans="2:12" x14ac:dyDescent="0.25">
      <c r="B42" s="68" t="s">
        <v>32</v>
      </c>
      <c r="C42" s="16">
        <f>IFERROR(C3/$C$3,"-")</f>
        <v>1</v>
      </c>
      <c r="D42" s="16">
        <f>IFERROR(D3/$D$3,"-")</f>
        <v>1</v>
      </c>
      <c r="E42" s="16">
        <f>IFERROR(E3/$E$3,"-")</f>
        <v>1</v>
      </c>
      <c r="F42" s="16">
        <f>IFERROR(F3/$F$3,"-")</f>
        <v>1</v>
      </c>
      <c r="G42" s="16">
        <f>IFERROR(G3/$G$3,"-")</f>
        <v>1</v>
      </c>
    </row>
    <row r="43" spans="2:12" x14ac:dyDescent="0.25">
      <c r="B43" s="69" t="s">
        <v>33</v>
      </c>
      <c r="C43" s="17">
        <f t="shared" ref="C43:C76" si="25">IFERROR(C4/$C$3,"-")</f>
        <v>0.2972685177255156</v>
      </c>
      <c r="D43" s="17">
        <f t="shared" ref="D43:D76" si="26">IFERROR(D4/$D$3,"-")</f>
        <v>0.19440067238302663</v>
      </c>
      <c r="E43" s="17">
        <f t="shared" ref="E43:E76" si="27">IFERROR(E4/$E$3,"-")</f>
        <v>0.29738861464985655</v>
      </c>
      <c r="F43" s="17">
        <f t="shared" ref="F43:F76" si="28">IFERROR(F4/$F$3,"-")</f>
        <v>0.22251212462773021</v>
      </c>
      <c r="G43" s="17">
        <f t="shared" ref="G43:G76" si="29">IFERROR(G4/$G$3,"-")</f>
        <v>0.30091145121391522</v>
      </c>
    </row>
    <row r="44" spans="2:12" x14ac:dyDescent="0.25">
      <c r="B44" s="70" t="s">
        <v>34</v>
      </c>
      <c r="C44" s="16">
        <f t="shared" si="25"/>
        <v>0.22961951091393887</v>
      </c>
      <c r="D44" s="16">
        <f t="shared" si="26"/>
        <v>0.16125599824451717</v>
      </c>
      <c r="E44" s="16">
        <f t="shared" si="27"/>
        <v>0.16463715137042623</v>
      </c>
      <c r="F44" s="16">
        <f t="shared" si="28"/>
        <v>0.17725869664129706</v>
      </c>
      <c r="G44" s="16">
        <f t="shared" si="29"/>
        <v>0.17913553798155218</v>
      </c>
    </row>
    <row r="45" spans="2:12" x14ac:dyDescent="0.25">
      <c r="B45" s="70" t="s">
        <v>37</v>
      </c>
      <c r="C45" s="16">
        <f t="shared" si="25"/>
        <v>1.7839708124218402E-2</v>
      </c>
      <c r="D45" s="16">
        <f t="shared" si="26"/>
        <v>8.7666491394410209E-3</v>
      </c>
      <c r="E45" s="16">
        <f t="shared" si="27"/>
        <v>1.4023170818330925E-2</v>
      </c>
      <c r="F45" s="16">
        <f t="shared" si="28"/>
        <v>6.1476257445403915E-3</v>
      </c>
      <c r="G45" s="16">
        <f t="shared" si="29"/>
        <v>1.1440775553688933E-2</v>
      </c>
    </row>
    <row r="46" spans="2:12" x14ac:dyDescent="0.25">
      <c r="B46" s="70" t="s">
        <v>36</v>
      </c>
      <c r="C46" s="16">
        <f t="shared" si="25"/>
        <v>9.1882062086409387E-3</v>
      </c>
      <c r="D46" s="16">
        <f t="shared" si="26"/>
        <v>1.6188532225943878E-3</v>
      </c>
      <c r="E46" s="16">
        <f t="shared" si="27"/>
        <v>3.1912782468034116E-3</v>
      </c>
      <c r="F46" s="16">
        <f t="shared" si="28"/>
        <v>4.323114865982791E-3</v>
      </c>
      <c r="G46" s="16">
        <f t="shared" si="29"/>
        <v>3.433061107493582E-3</v>
      </c>
    </row>
    <row r="47" spans="2:12" x14ac:dyDescent="0.25">
      <c r="B47" s="70" t="s">
        <v>35</v>
      </c>
      <c r="C47" s="16">
        <f t="shared" si="25"/>
        <v>2.3595005224302423E-3</v>
      </c>
      <c r="D47" s="16">
        <f t="shared" si="26"/>
        <v>1.2155890182959392E-3</v>
      </c>
      <c r="E47" s="16">
        <f t="shared" si="27"/>
        <v>2.1602273584373714E-4</v>
      </c>
      <c r="F47" s="16">
        <f t="shared" si="28"/>
        <v>3.8325715585704815E-4</v>
      </c>
      <c r="G47" s="16">
        <f t="shared" si="29"/>
        <v>1.1166837601739501E-2</v>
      </c>
    </row>
    <row r="48" spans="2:12" x14ac:dyDescent="0.25">
      <c r="B48" s="70" t="s">
        <v>39</v>
      </c>
      <c r="C48" s="16">
        <f t="shared" si="25"/>
        <v>1.3430453971897249E-2</v>
      </c>
      <c r="D48" s="16">
        <f t="shared" si="26"/>
        <v>1.6643964078847667E-4</v>
      </c>
      <c r="E48" s="16">
        <f t="shared" si="27"/>
        <v>9.1833827988784353E-2</v>
      </c>
      <c r="F48" s="16">
        <f t="shared" si="28"/>
        <v>1.3149662888815349E-2</v>
      </c>
      <c r="G48" s="16">
        <f t="shared" si="29"/>
        <v>6.6340481677914107E-2</v>
      </c>
    </row>
    <row r="49" spans="2:7" x14ac:dyDescent="0.25">
      <c r="B49" s="70" t="s">
        <v>38</v>
      </c>
      <c r="C49" s="16">
        <f t="shared" si="25"/>
        <v>2.4831137984389896E-2</v>
      </c>
      <c r="D49" s="16">
        <f t="shared" si="26"/>
        <v>2.137714311738962E-2</v>
      </c>
      <c r="E49" s="16">
        <f t="shared" si="27"/>
        <v>2.3487163489667881E-2</v>
      </c>
      <c r="F49" s="16">
        <f t="shared" si="28"/>
        <v>2.1249767331237582E-2</v>
      </c>
      <c r="G49" s="16">
        <f t="shared" si="29"/>
        <v>2.9394757291526855E-2</v>
      </c>
    </row>
    <row r="50" spans="2:7" x14ac:dyDescent="0.25">
      <c r="B50" s="69" t="s">
        <v>40</v>
      </c>
      <c r="C50" s="17">
        <f t="shared" si="25"/>
        <v>0.70273148227448434</v>
      </c>
      <c r="D50" s="17">
        <f t="shared" si="26"/>
        <v>0.80559932761697328</v>
      </c>
      <c r="E50" s="17">
        <f t="shared" si="27"/>
        <v>0.70261138535014345</v>
      </c>
      <c r="F50" s="17">
        <f t="shared" si="28"/>
        <v>0.77748787537226982</v>
      </c>
      <c r="G50" s="17">
        <f t="shared" si="29"/>
        <v>0.69908854878608473</v>
      </c>
    </row>
    <row r="51" spans="2:7" x14ac:dyDescent="0.25">
      <c r="B51" s="70" t="s">
        <v>41</v>
      </c>
      <c r="C51" s="16">
        <f t="shared" si="25"/>
        <v>0.61007719406427885</v>
      </c>
      <c r="D51" s="16">
        <f t="shared" si="26"/>
        <v>0.42291898695394747</v>
      </c>
      <c r="E51" s="16">
        <f t="shared" si="27"/>
        <v>0.43486475146035031</v>
      </c>
      <c r="F51" s="16">
        <f t="shared" si="28"/>
        <v>0.5022064754301786</v>
      </c>
      <c r="G51" s="16">
        <f t="shared" si="29"/>
        <v>0.53713985581806079</v>
      </c>
    </row>
    <row r="52" spans="2:7" x14ac:dyDescent="0.25">
      <c r="B52" s="70" t="s">
        <v>42</v>
      </c>
      <c r="C52" s="16">
        <f t="shared" si="25"/>
        <v>5.3790331329256653E-2</v>
      </c>
      <c r="D52" s="16">
        <f t="shared" si="26"/>
        <v>3.0174430399662139E-2</v>
      </c>
      <c r="E52" s="16">
        <f t="shared" si="27"/>
        <v>7.4662583470818972E-2</v>
      </c>
      <c r="F52" s="16">
        <f t="shared" si="28"/>
        <v>7.2989483371939071E-2</v>
      </c>
      <c r="G52" s="16">
        <f t="shared" si="29"/>
        <v>4.5794030693201072E-2</v>
      </c>
    </row>
    <row r="53" spans="2:7" x14ac:dyDescent="0.25">
      <c r="B53" s="70" t="s">
        <v>43</v>
      </c>
      <c r="C53" s="16">
        <f t="shared" si="25"/>
        <v>0</v>
      </c>
      <c r="D53" s="16">
        <f t="shared" si="26"/>
        <v>5.9399078371541285E-2</v>
      </c>
      <c r="E53" s="16">
        <f t="shared" si="27"/>
        <v>7.0316498937827168E-2</v>
      </c>
      <c r="F53" s="16">
        <f t="shared" si="28"/>
        <v>8.9748743588682955E-2</v>
      </c>
      <c r="G53" s="16">
        <f t="shared" si="29"/>
        <v>8.3113658292228804E-2</v>
      </c>
    </row>
    <row r="54" spans="2:7" x14ac:dyDescent="0.25">
      <c r="B54" s="70" t="s">
        <v>44</v>
      </c>
      <c r="C54" s="16">
        <f t="shared" si="25"/>
        <v>2.5836031128848996E-3</v>
      </c>
      <c r="D54" s="16">
        <f t="shared" si="26"/>
        <v>1.3687797324544876E-3</v>
      </c>
      <c r="E54" s="16">
        <f t="shared" si="27"/>
        <v>7.0079240068629306E-4</v>
      </c>
      <c r="F54" s="16">
        <f t="shared" si="28"/>
        <v>5.8361081237590974E-4</v>
      </c>
      <c r="G54" s="16">
        <f t="shared" si="29"/>
        <v>4.7165929629979392E-4</v>
      </c>
    </row>
    <row r="55" spans="2:7" x14ac:dyDescent="0.25">
      <c r="B55" s="70" t="s">
        <v>45</v>
      </c>
      <c r="C55" s="16">
        <f t="shared" si="25"/>
        <v>1.117229920693376E-2</v>
      </c>
      <c r="D55" s="16">
        <f t="shared" si="26"/>
        <v>6.4812092957781441E-3</v>
      </c>
      <c r="E55" s="16">
        <f t="shared" si="27"/>
        <v>5.7315591642336629E-3</v>
      </c>
      <c r="F55" s="16">
        <f t="shared" si="28"/>
        <v>5.0586066760423534E-3</v>
      </c>
      <c r="G55" s="16">
        <f t="shared" si="29"/>
        <v>4.3228071570708283E-3</v>
      </c>
    </row>
    <row r="56" spans="2:7" x14ac:dyDescent="0.25">
      <c r="B56" s="70" t="s">
        <v>46</v>
      </c>
      <c r="C56" s="16">
        <f t="shared" si="25"/>
        <v>4.2779328891248856E-3</v>
      </c>
      <c r="D56" s="16">
        <f t="shared" si="26"/>
        <v>2.3632772876134947E-3</v>
      </c>
      <c r="E56" s="16">
        <f t="shared" si="27"/>
        <v>1.6271271832026572E-3</v>
      </c>
      <c r="F56" s="16">
        <f t="shared" si="28"/>
        <v>8.796171823295826E-4</v>
      </c>
      <c r="G56" s="16">
        <f t="shared" si="29"/>
        <v>1.2802180899565835E-3</v>
      </c>
    </row>
    <row r="57" spans="2:7" x14ac:dyDescent="0.25">
      <c r="B57" s="70" t="s">
        <v>47</v>
      </c>
      <c r="C57" s="16">
        <f t="shared" si="25"/>
        <v>4.5305835802744035E-3</v>
      </c>
      <c r="D57" s="16">
        <f t="shared" si="26"/>
        <v>0.25857516074674253</v>
      </c>
      <c r="E57" s="16">
        <f t="shared" si="27"/>
        <v>8.123040692092906E-2</v>
      </c>
      <c r="F57" s="16">
        <f t="shared" si="28"/>
        <v>8.1609214717074746E-2</v>
      </c>
      <c r="G57" s="16">
        <f t="shared" si="29"/>
        <v>5.9957064644385986E-3</v>
      </c>
    </row>
    <row r="58" spans="2:7" x14ac:dyDescent="0.25">
      <c r="B58" s="70" t="s">
        <v>48</v>
      </c>
      <c r="C58" s="16">
        <f t="shared" si="25"/>
        <v>1.6299538091730754E-2</v>
      </c>
      <c r="D58" s="16">
        <f t="shared" si="26"/>
        <v>2.4318404829233749E-2</v>
      </c>
      <c r="E58" s="16">
        <f t="shared" si="27"/>
        <v>3.347766581209536E-2</v>
      </c>
      <c r="F58" s="16">
        <f t="shared" si="28"/>
        <v>2.4412123593646581E-2</v>
      </c>
      <c r="G58" s="16">
        <f t="shared" si="29"/>
        <v>2.0970612974828075E-2</v>
      </c>
    </row>
    <row r="59" spans="2:7" x14ac:dyDescent="0.25">
      <c r="C59" s="16">
        <f t="shared" si="25"/>
        <v>0</v>
      </c>
      <c r="D59" s="16">
        <f t="shared" si="26"/>
        <v>0</v>
      </c>
      <c r="E59" s="16">
        <f t="shared" si="27"/>
        <v>0</v>
      </c>
      <c r="F59" s="16">
        <f t="shared" si="28"/>
        <v>0</v>
      </c>
      <c r="G59" s="16">
        <f t="shared" si="29"/>
        <v>0</v>
      </c>
    </row>
    <row r="60" spans="2:7" x14ac:dyDescent="0.25">
      <c r="B60" s="68" t="s">
        <v>49</v>
      </c>
      <c r="C60" s="16">
        <f t="shared" si="25"/>
        <v>0.99999999999999989</v>
      </c>
      <c r="D60" s="16">
        <f t="shared" si="26"/>
        <v>0.99999999999999956</v>
      </c>
      <c r="E60" s="16">
        <f t="shared" si="27"/>
        <v>0.99999999999999978</v>
      </c>
      <c r="F60" s="16">
        <f t="shared" si="28"/>
        <v>0.99999999999999967</v>
      </c>
      <c r="G60" s="16">
        <f t="shared" si="29"/>
        <v>0.99999999999999956</v>
      </c>
    </row>
    <row r="61" spans="2:7" x14ac:dyDescent="0.25">
      <c r="B61" s="68" t="s">
        <v>50</v>
      </c>
      <c r="C61" s="16">
        <f t="shared" si="25"/>
        <v>0.20236463918055528</v>
      </c>
      <c r="D61" s="16">
        <f t="shared" si="26"/>
        <v>8.2495269719164127E-2</v>
      </c>
      <c r="E61" s="16">
        <f t="shared" si="27"/>
        <v>0.10778143185727557</v>
      </c>
      <c r="F61" s="16">
        <f t="shared" si="28"/>
        <v>0.11599507259265382</v>
      </c>
      <c r="G61" s="16">
        <f t="shared" si="29"/>
        <v>0.11197821309611183</v>
      </c>
    </row>
    <row r="62" spans="2:7" x14ac:dyDescent="0.25">
      <c r="B62" s="22" t="s">
        <v>51</v>
      </c>
      <c r="C62" s="16">
        <f t="shared" si="25"/>
        <v>0.17513117852269286</v>
      </c>
      <c r="D62" s="16">
        <f t="shared" si="26"/>
        <v>6.0100443425013118E-2</v>
      </c>
      <c r="E62" s="16">
        <f t="shared" si="27"/>
        <v>8.0973376479298032E-2</v>
      </c>
      <c r="F62" s="16">
        <f t="shared" si="28"/>
        <v>7.8738340709794796E-2</v>
      </c>
      <c r="G62" s="16">
        <f t="shared" si="29"/>
        <v>8.1022119937325596E-2</v>
      </c>
    </row>
    <row r="63" spans="2:7" x14ac:dyDescent="0.25">
      <c r="B63" s="70" t="s">
        <v>53</v>
      </c>
      <c r="C63" s="16">
        <f t="shared" si="25"/>
        <v>4.3414524131709507E-2</v>
      </c>
      <c r="D63" s="16">
        <f t="shared" si="26"/>
        <v>3.0886560206020797E-4</v>
      </c>
      <c r="E63" s="16">
        <f t="shared" si="27"/>
        <v>0</v>
      </c>
      <c r="F63" s="16">
        <f t="shared" si="28"/>
        <v>0</v>
      </c>
      <c r="G63" s="16">
        <f t="shared" si="29"/>
        <v>0</v>
      </c>
    </row>
    <row r="64" spans="2:7" x14ac:dyDescent="0.25">
      <c r="B64" s="70" t="s">
        <v>52</v>
      </c>
      <c r="C64" s="16">
        <f t="shared" si="25"/>
        <v>0</v>
      </c>
      <c r="D64" s="16">
        <f t="shared" si="26"/>
        <v>6.1566105933448956E-3</v>
      </c>
      <c r="E64" s="16">
        <f t="shared" si="27"/>
        <v>5.9095033161320632E-3</v>
      </c>
      <c r="F64" s="16">
        <f t="shared" si="28"/>
        <v>9.0346573047650515E-3</v>
      </c>
      <c r="G64" s="16">
        <f t="shared" si="29"/>
        <v>9.1857580984287743E-3</v>
      </c>
    </row>
    <row r="65" spans="2:12" x14ac:dyDescent="0.25">
      <c r="B65" s="70" t="s">
        <v>54</v>
      </c>
      <c r="C65" s="16">
        <f t="shared" si="25"/>
        <v>6.6127393044540739E-2</v>
      </c>
      <c r="D65" s="16">
        <f t="shared" si="26"/>
        <v>3.589217029839066E-2</v>
      </c>
      <c r="E65" s="16">
        <f t="shared" si="27"/>
        <v>4.2335330262149064E-2</v>
      </c>
      <c r="F65" s="16">
        <f t="shared" si="28"/>
        <v>3.8080120780939752E-2</v>
      </c>
      <c r="G65" s="16">
        <f t="shared" si="29"/>
        <v>4.1631388870939305E-2</v>
      </c>
    </row>
    <row r="66" spans="2:12" x14ac:dyDescent="0.25">
      <c r="B66" s="70" t="s">
        <v>55</v>
      </c>
      <c r="C66" s="16">
        <f t="shared" si="25"/>
        <v>6.5589261346442607E-2</v>
      </c>
      <c r="D66" s="16">
        <f t="shared" si="26"/>
        <v>1.7742796931217362E-2</v>
      </c>
      <c r="E66" s="16">
        <f t="shared" si="27"/>
        <v>3.2728542901016899E-2</v>
      </c>
      <c r="F66" s="16">
        <f t="shared" si="28"/>
        <v>3.1623562624089996E-2</v>
      </c>
      <c r="G66" s="16">
        <f t="shared" si="29"/>
        <v>3.020497296795753E-2</v>
      </c>
    </row>
    <row r="67" spans="2:12" x14ac:dyDescent="0.25">
      <c r="B67" s="69" t="s">
        <v>56</v>
      </c>
      <c r="C67" s="16">
        <f t="shared" si="25"/>
        <v>2.7233460657862432E-2</v>
      </c>
      <c r="D67" s="16">
        <f t="shared" si="26"/>
        <v>2.2394826294151009E-2</v>
      </c>
      <c r="E67" s="16">
        <f t="shared" si="27"/>
        <v>2.6808055377977532E-2</v>
      </c>
      <c r="F67" s="16">
        <f t="shared" si="28"/>
        <v>3.7256731882859023E-2</v>
      </c>
      <c r="G67" s="16">
        <f t="shared" si="29"/>
        <v>3.0956093158786242E-2</v>
      </c>
    </row>
    <row r="68" spans="2:12" x14ac:dyDescent="0.25">
      <c r="B68" s="70" t="s">
        <v>57</v>
      </c>
      <c r="C68" s="16">
        <f t="shared" si="25"/>
        <v>1.7938199071615764E-2</v>
      </c>
      <c r="D68" s="16">
        <f t="shared" si="26"/>
        <v>0</v>
      </c>
      <c r="E68" s="16">
        <f t="shared" si="27"/>
        <v>0</v>
      </c>
      <c r="F68" s="16">
        <f t="shared" si="28"/>
        <v>0</v>
      </c>
      <c r="G68" s="16">
        <f t="shared" si="29"/>
        <v>0</v>
      </c>
    </row>
    <row r="69" spans="2:12" x14ac:dyDescent="0.25">
      <c r="B69" s="70" t="s">
        <v>58</v>
      </c>
      <c r="C69" s="16">
        <f t="shared" si="25"/>
        <v>0</v>
      </c>
      <c r="D69" s="16">
        <f t="shared" si="26"/>
        <v>1.8309188544646807E-2</v>
      </c>
      <c r="E69" s="16">
        <f t="shared" si="27"/>
        <v>2.2847882647662514E-2</v>
      </c>
      <c r="F69" s="16">
        <f t="shared" si="28"/>
        <v>3.2777211904367949E-2</v>
      </c>
      <c r="G69" s="16">
        <f t="shared" si="29"/>
        <v>2.632565810003042E-2</v>
      </c>
    </row>
    <row r="70" spans="2:12" x14ac:dyDescent="0.25">
      <c r="B70" s="70" t="s">
        <v>59</v>
      </c>
      <c r="C70" s="16">
        <f t="shared" si="25"/>
        <v>9.2952615862466666E-3</v>
      </c>
      <c r="D70" s="16">
        <f t="shared" si="26"/>
        <v>4.0856377495041988E-3</v>
      </c>
      <c r="E70" s="16">
        <f t="shared" si="27"/>
        <v>3.9601727303150182E-3</v>
      </c>
      <c r="F70" s="16">
        <f t="shared" si="28"/>
        <v>4.4795199784910637E-3</v>
      </c>
      <c r="G70" s="16">
        <f t="shared" si="29"/>
        <v>4.6304350587558218E-3</v>
      </c>
    </row>
    <row r="71" spans="2:12" x14ac:dyDescent="0.25">
      <c r="C71" s="16">
        <f t="shared" si="25"/>
        <v>0</v>
      </c>
      <c r="D71" s="16">
        <f t="shared" si="26"/>
        <v>0</v>
      </c>
      <c r="E71" s="16">
        <f t="shared" si="27"/>
        <v>0</v>
      </c>
      <c r="F71" s="16">
        <f t="shared" si="28"/>
        <v>0</v>
      </c>
      <c r="G71" s="16">
        <f t="shared" si="29"/>
        <v>0</v>
      </c>
    </row>
    <row r="72" spans="2:12" x14ac:dyDescent="0.25">
      <c r="B72" s="25" t="s">
        <v>60</v>
      </c>
      <c r="C72" s="16">
        <f t="shared" si="25"/>
        <v>0.79763536081944453</v>
      </c>
      <c r="D72" s="16">
        <f t="shared" si="26"/>
        <v>0.91750473028083546</v>
      </c>
      <c r="E72" s="16">
        <f t="shared" si="27"/>
        <v>0.89221856814272416</v>
      </c>
      <c r="F72" s="16">
        <f t="shared" si="28"/>
        <v>0.88400492740734582</v>
      </c>
      <c r="G72" s="16">
        <f t="shared" si="29"/>
        <v>0.88802178690388778</v>
      </c>
    </row>
    <row r="73" spans="2:12" x14ac:dyDescent="0.25">
      <c r="B73" s="25" t="s">
        <v>85</v>
      </c>
      <c r="C73" s="16">
        <f t="shared" si="25"/>
        <v>0.79755542613749897</v>
      </c>
      <c r="D73" s="16">
        <f t="shared" si="26"/>
        <v>0.91746663961677444</v>
      </c>
      <c r="E73" s="16">
        <f t="shared" si="27"/>
        <v>0.89218927692430461</v>
      </c>
      <c r="F73" s="16">
        <f t="shared" si="28"/>
        <v>0.88398876985440078</v>
      </c>
      <c r="G73" s="16">
        <f t="shared" si="29"/>
        <v>0.88801736854982405</v>
      </c>
    </row>
    <row r="74" spans="2:12" x14ac:dyDescent="0.25">
      <c r="B74" s="70" t="s">
        <v>61</v>
      </c>
      <c r="C74" s="16">
        <f t="shared" si="25"/>
        <v>8.9081493408243534E-2</v>
      </c>
      <c r="D74" s="16">
        <f t="shared" si="26"/>
        <v>5.3639107519179871E-2</v>
      </c>
      <c r="E74" s="16">
        <f t="shared" si="27"/>
        <v>4.7434931388982235E-2</v>
      </c>
      <c r="F74" s="16">
        <f t="shared" si="28"/>
        <v>4.1865512284910637E-2</v>
      </c>
      <c r="G74" s="16">
        <f t="shared" si="29"/>
        <v>3.580302756666328E-2</v>
      </c>
    </row>
    <row r="75" spans="2:12" x14ac:dyDescent="0.25">
      <c r="B75" s="70" t="s">
        <v>62</v>
      </c>
      <c r="C75" s="16">
        <f t="shared" si="25"/>
        <v>0.70847393272925541</v>
      </c>
      <c r="D75" s="16">
        <f t="shared" si="26"/>
        <v>0.86382753209759455</v>
      </c>
      <c r="E75" s="16">
        <f t="shared" si="27"/>
        <v>0.84475434553532236</v>
      </c>
      <c r="F75" s="16">
        <f t="shared" si="28"/>
        <v>0.84212325756949014</v>
      </c>
      <c r="G75" s="16">
        <f t="shared" si="29"/>
        <v>0.85221434098316073</v>
      </c>
    </row>
    <row r="76" spans="2:12" x14ac:dyDescent="0.25">
      <c r="B76" s="70" t="s">
        <v>63</v>
      </c>
      <c r="C76" s="16">
        <f t="shared" si="25"/>
        <v>7.9934681945610154E-5</v>
      </c>
      <c r="D76" s="16">
        <f t="shared" si="26"/>
        <v>3.8090664061044417E-5</v>
      </c>
      <c r="E76" s="16">
        <f t="shared" si="27"/>
        <v>2.9291218419489782E-5</v>
      </c>
      <c r="F76" s="16">
        <f t="shared" si="28"/>
        <v>1.6157552945069484E-5</v>
      </c>
      <c r="G76" s="16">
        <f t="shared" si="29"/>
        <v>4.418354063698304E-6</v>
      </c>
    </row>
    <row r="78" spans="2:12" x14ac:dyDescent="0.25">
      <c r="B78" s="78" t="s">
        <v>119</v>
      </c>
      <c r="C78" s="66" t="s">
        <v>1</v>
      </c>
      <c r="D78" s="66" t="s">
        <v>2</v>
      </c>
      <c r="E78" s="66" t="s">
        <v>3</v>
      </c>
      <c r="F78" s="66" t="s">
        <v>4</v>
      </c>
      <c r="G78" s="66" t="s">
        <v>5</v>
      </c>
      <c r="H78" s="67" t="s">
        <v>6</v>
      </c>
      <c r="I78" s="67" t="s">
        <v>7</v>
      </c>
      <c r="J78" s="67" t="s">
        <v>8</v>
      </c>
      <c r="K78" s="67" t="s">
        <v>9</v>
      </c>
      <c r="L78" s="67" t="s">
        <v>10</v>
      </c>
    </row>
    <row r="79" spans="2:12" x14ac:dyDescent="0.25">
      <c r="B79" s="79" t="s">
        <v>125</v>
      </c>
      <c r="C79" s="80"/>
      <c r="D79" s="80"/>
      <c r="E79" s="80"/>
      <c r="F79" s="80"/>
      <c r="G79" s="80"/>
    </row>
    <row r="80" spans="2:12" x14ac:dyDescent="0.25">
      <c r="B80" s="81" t="s">
        <v>120</v>
      </c>
      <c r="C80" s="22">
        <v>3661.1</v>
      </c>
      <c r="D80" s="22">
        <f>C84</f>
        <v>4857.5500000000011</v>
      </c>
      <c r="E80" s="22">
        <f t="shared" ref="E80:L80" si="30">D84</f>
        <v>5930.2800000000007</v>
      </c>
      <c r="F80" s="22">
        <f t="shared" si="30"/>
        <v>7048.4400000000014</v>
      </c>
      <c r="G80" s="22">
        <f t="shared" si="30"/>
        <v>9205.340000000002</v>
      </c>
      <c r="H80" s="22">
        <f t="shared" si="30"/>
        <v>11598.710000000001</v>
      </c>
      <c r="I80" s="22">
        <f t="shared" si="30"/>
        <v>13994.6640688077</v>
      </c>
      <c r="J80" s="22">
        <f t="shared" si="30"/>
        <v>17455.162867226685</v>
      </c>
      <c r="K80" s="22">
        <f t="shared" si="30"/>
        <v>20908.111495718735</v>
      </c>
      <c r="L80" s="22">
        <f t="shared" si="30"/>
        <v>24010.114988724727</v>
      </c>
    </row>
    <row r="81" spans="2:12" x14ac:dyDescent="0.25">
      <c r="B81" s="81" t="s">
        <v>121</v>
      </c>
      <c r="C81" s="22">
        <v>1211.33</v>
      </c>
      <c r="D81" s="22">
        <v>1488.37</v>
      </c>
      <c r="E81" s="22">
        <v>1138.8900000000001</v>
      </c>
      <c r="F81" s="22">
        <v>2151.06</v>
      </c>
      <c r="G81" s="22">
        <v>2422.38</v>
      </c>
      <c r="H81" s="22">
        <f>G81</f>
        <v>2422.38</v>
      </c>
      <c r="I81" s="22">
        <f>I80*25%</f>
        <v>3498.6660172019251</v>
      </c>
      <c r="J81" s="22">
        <f>J80*20%</f>
        <v>3491.0325734453372</v>
      </c>
      <c r="K81" s="22">
        <f>K80*15%</f>
        <v>3136.2167243578101</v>
      </c>
      <c r="L81" s="22">
        <f>L80*5%</f>
        <v>1200.5057494362363</v>
      </c>
    </row>
    <row r="82" spans="2:12" x14ac:dyDescent="0.25">
      <c r="B82" s="81" t="s">
        <v>122</v>
      </c>
      <c r="C82" s="22">
        <v>-3.4</v>
      </c>
      <c r="D82" s="22">
        <v>-406.25</v>
      </c>
      <c r="E82" s="22">
        <v>-10.33</v>
      </c>
      <c r="F82" s="22">
        <v>43.81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</row>
    <row r="83" spans="2:12" x14ac:dyDescent="0.25">
      <c r="B83" s="81" t="s">
        <v>123</v>
      </c>
      <c r="C83" s="22">
        <v>11.48</v>
      </c>
      <c r="D83" s="22">
        <v>9.39</v>
      </c>
      <c r="E83" s="22">
        <v>10.4</v>
      </c>
      <c r="F83" s="22">
        <v>37.97</v>
      </c>
      <c r="G83" s="22">
        <v>29.01</v>
      </c>
      <c r="H83" s="22">
        <f>H81*$H$97</f>
        <v>26.425931192300169</v>
      </c>
      <c r="I83" s="22">
        <f t="shared" ref="I83:L83" si="31">I81*$H$97</f>
        <v>38.167218782939486</v>
      </c>
      <c r="J83" s="22">
        <f t="shared" si="31"/>
        <v>38.083944953287705</v>
      </c>
      <c r="K83" s="22">
        <f t="shared" si="31"/>
        <v>34.213231351819495</v>
      </c>
      <c r="L83" s="22">
        <f t="shared" si="31"/>
        <v>13.096410278553623</v>
      </c>
    </row>
    <row r="84" spans="2:12" x14ac:dyDescent="0.25">
      <c r="B84" s="82" t="s">
        <v>124</v>
      </c>
      <c r="C84" s="23">
        <f>C80+C81+C82-C83</f>
        <v>4857.5500000000011</v>
      </c>
      <c r="D84" s="23">
        <f t="shared" ref="D84:L84" si="32">D80+D81+D82-D83</f>
        <v>5930.2800000000007</v>
      </c>
      <c r="E84" s="23">
        <f t="shared" si="32"/>
        <v>7048.4400000000014</v>
      </c>
      <c r="F84" s="23">
        <f t="shared" si="32"/>
        <v>9205.340000000002</v>
      </c>
      <c r="G84" s="23">
        <f>G80+G81+G82-G83</f>
        <v>11598.710000000001</v>
      </c>
      <c r="H84" s="23">
        <f t="shared" si="32"/>
        <v>13994.6640688077</v>
      </c>
      <c r="I84" s="23">
        <f t="shared" si="32"/>
        <v>17455.162867226685</v>
      </c>
      <c r="J84" s="23">
        <f t="shared" si="32"/>
        <v>20908.111495718735</v>
      </c>
      <c r="K84" s="23">
        <f t="shared" si="32"/>
        <v>24010.114988724727</v>
      </c>
      <c r="L84" s="23">
        <f t="shared" si="32"/>
        <v>25197.524327882409</v>
      </c>
    </row>
    <row r="86" spans="2:12" x14ac:dyDescent="0.25">
      <c r="B86" s="83" t="s">
        <v>126</v>
      </c>
    </row>
    <row r="87" spans="2:12" x14ac:dyDescent="0.25">
      <c r="B87" s="70" t="s">
        <v>120</v>
      </c>
      <c r="C87" s="22">
        <v>385.09</v>
      </c>
      <c r="D87" s="22">
        <f>C91</f>
        <v>583.52</v>
      </c>
      <c r="E87" s="22">
        <f t="shared" ref="E87:L87" si="33">D91</f>
        <v>822.92</v>
      </c>
      <c r="F87" s="22">
        <f t="shared" si="33"/>
        <v>1109.94</v>
      </c>
      <c r="G87" s="22">
        <f t="shared" si="33"/>
        <v>1434.88</v>
      </c>
      <c r="H87" s="22">
        <f t="shared" si="33"/>
        <v>1873.1000000000001</v>
      </c>
      <c r="I87" s="22">
        <f t="shared" si="33"/>
        <v>2354.3783800349825</v>
      </c>
      <c r="J87" s="22">
        <f t="shared" si="33"/>
        <v>2954.6637792901111</v>
      </c>
      <c r="K87" s="22">
        <f t="shared" si="33"/>
        <v>3673.6965464058712</v>
      </c>
      <c r="L87" s="22">
        <f t="shared" si="33"/>
        <v>4499.4076309600841</v>
      </c>
    </row>
    <row r="88" spans="2:12" x14ac:dyDescent="0.25">
      <c r="B88" s="70" t="s">
        <v>127</v>
      </c>
      <c r="C88" s="22">
        <v>203.02</v>
      </c>
      <c r="D88" s="22">
        <v>261.87</v>
      </c>
      <c r="E88" s="22">
        <v>289.23</v>
      </c>
      <c r="F88" s="22">
        <v>339.98</v>
      </c>
      <c r="G88" s="22">
        <v>459.59</v>
      </c>
      <c r="H88" s="22">
        <f>H84*$H$98</f>
        <v>481.27838003498232</v>
      </c>
      <c r="I88" s="22">
        <f t="shared" ref="I88:L88" si="34">I84*$H$98</f>
        <v>600.28539925512882</v>
      </c>
      <c r="J88" s="22">
        <f t="shared" si="34"/>
        <v>719.03276711576018</v>
      </c>
      <c r="K88" s="22">
        <f t="shared" si="34"/>
        <v>825.71108455421313</v>
      </c>
      <c r="L88" s="22">
        <f t="shared" si="34"/>
        <v>866.54625147057823</v>
      </c>
    </row>
    <row r="89" spans="2:12" x14ac:dyDescent="0.25">
      <c r="B89" s="70" t="s">
        <v>122</v>
      </c>
      <c r="C89" s="22">
        <v>-0.48</v>
      </c>
      <c r="D89" s="22">
        <v>-16.760000000000002</v>
      </c>
      <c r="E89" s="22">
        <v>4.55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</row>
    <row r="90" spans="2:12" x14ac:dyDescent="0.25">
      <c r="B90" s="70" t="s">
        <v>123</v>
      </c>
      <c r="C90" s="22">
        <v>4.1100000000000003</v>
      </c>
      <c r="D90" s="22">
        <v>5.71</v>
      </c>
      <c r="E90" s="22">
        <v>6.76</v>
      </c>
      <c r="F90" s="22">
        <v>15.04</v>
      </c>
      <c r="G90" s="22">
        <v>21.37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</row>
    <row r="91" spans="2:12" x14ac:dyDescent="0.25">
      <c r="B91" s="68" t="s">
        <v>124</v>
      </c>
      <c r="C91" s="23">
        <f>C87+C88+C89-C90</f>
        <v>583.52</v>
      </c>
      <c r="D91" s="23">
        <f t="shared" ref="D91:L91" si="35">D87+D88+D89-D90</f>
        <v>822.92</v>
      </c>
      <c r="E91" s="23">
        <f t="shared" si="35"/>
        <v>1109.94</v>
      </c>
      <c r="F91" s="23">
        <f t="shared" si="35"/>
        <v>1434.88</v>
      </c>
      <c r="G91" s="23">
        <f t="shared" si="35"/>
        <v>1873.1000000000001</v>
      </c>
      <c r="H91" s="23">
        <f t="shared" si="35"/>
        <v>2354.3783800349825</v>
      </c>
      <c r="I91" s="23">
        <f t="shared" si="35"/>
        <v>2954.6637792901111</v>
      </c>
      <c r="J91" s="23">
        <f t="shared" si="35"/>
        <v>3673.6965464058712</v>
      </c>
      <c r="K91" s="23">
        <f t="shared" si="35"/>
        <v>4499.4076309600841</v>
      </c>
      <c r="L91" s="23">
        <f t="shared" si="35"/>
        <v>5365.9538824306619</v>
      </c>
    </row>
    <row r="93" spans="2:12" x14ac:dyDescent="0.25">
      <c r="B93" s="25" t="s">
        <v>128</v>
      </c>
      <c r="C93" s="25">
        <f>C84-C91</f>
        <v>4274.0300000000007</v>
      </c>
      <c r="D93" s="25">
        <f t="shared" ref="D93:L93" si="36">D84-D91</f>
        <v>5107.3600000000006</v>
      </c>
      <c r="E93" s="25">
        <f t="shared" si="36"/>
        <v>5938.5000000000018</v>
      </c>
      <c r="F93" s="25">
        <f t="shared" si="36"/>
        <v>7770.4600000000019</v>
      </c>
      <c r="G93" s="25">
        <f t="shared" si="36"/>
        <v>9725.61</v>
      </c>
      <c r="H93" s="25">
        <f t="shared" si="36"/>
        <v>11640.285688772718</v>
      </c>
      <c r="I93" s="25">
        <f t="shared" si="36"/>
        <v>14500.499087936574</v>
      </c>
      <c r="J93" s="25">
        <f t="shared" si="36"/>
        <v>17234.414949312864</v>
      </c>
      <c r="K93" s="25">
        <f t="shared" si="36"/>
        <v>19510.707357764644</v>
      </c>
      <c r="L93" s="25">
        <f t="shared" si="36"/>
        <v>19831.570445451747</v>
      </c>
    </row>
    <row r="94" spans="2:12" x14ac:dyDescent="0.25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spans="2:12" x14ac:dyDescent="0.25">
      <c r="H95" s="84" t="s">
        <v>116</v>
      </c>
    </row>
    <row r="96" spans="2:12" x14ac:dyDescent="0.25">
      <c r="B96" s="22" t="s">
        <v>129</v>
      </c>
      <c r="C96" s="16">
        <f>C81/C80</f>
        <v>0.33086504056157984</v>
      </c>
      <c r="D96" s="16">
        <f t="shared" ref="D96:G96" si="37">D81/D80</f>
        <v>0.30640343382981122</v>
      </c>
      <c r="E96" s="16">
        <f t="shared" si="37"/>
        <v>0.19204658127440863</v>
      </c>
      <c r="F96" s="16">
        <f t="shared" si="37"/>
        <v>0.30518242334474005</v>
      </c>
      <c r="G96" s="16">
        <f t="shared" si="37"/>
        <v>0.26314943282920561</v>
      </c>
      <c r="H96" s="35">
        <f>AVERAGE(C96:G96)</f>
        <v>0.27952938236794911</v>
      </c>
    </row>
    <row r="97" spans="2:8" x14ac:dyDescent="0.25">
      <c r="B97" s="22" t="s">
        <v>130</v>
      </c>
      <c r="C97" s="16">
        <f>C83/C81</f>
        <v>9.4771862333137957E-3</v>
      </c>
      <c r="D97" s="16">
        <f t="shared" ref="D97:G97" si="38">D83/D81</f>
        <v>6.3089151219118912E-3</v>
      </c>
      <c r="E97" s="16">
        <f t="shared" si="38"/>
        <v>9.1316984080991141E-3</v>
      </c>
      <c r="F97" s="16">
        <f t="shared" si="38"/>
        <v>1.7651762386916219E-2</v>
      </c>
      <c r="G97" s="16">
        <f t="shared" si="38"/>
        <v>1.1975825427884973E-2</v>
      </c>
      <c r="H97" s="35">
        <f>AVERAGE(C97:G97)</f>
        <v>1.0909077515625198E-2</v>
      </c>
    </row>
    <row r="98" spans="2:8" x14ac:dyDescent="0.25">
      <c r="B98" s="22" t="s">
        <v>131</v>
      </c>
      <c r="C98" s="16">
        <f>IS!C14/AVERAGE(C84:G84)</f>
        <v>2.7495890303185892E-2</v>
      </c>
      <c r="D98" s="16">
        <f>IS!D14/AVERAGE(D84:H84)</f>
        <v>3.9182723737401358E-2</v>
      </c>
      <c r="E98" s="16">
        <f>IS!E14/AVERAGE(E84:I84)</f>
        <v>3.4919377639724254E-2</v>
      </c>
      <c r="F98" s="16">
        <f>IS!F14/AVERAGE(F84:J84)</f>
        <v>3.4039534099364888E-2</v>
      </c>
      <c r="G98" s="16">
        <f>IS!G14/AVERAGE(G84:K84)</f>
        <v>3.6313146872656049E-2</v>
      </c>
      <c r="H98" s="16">
        <f>AVERAGE(C98:G98)</f>
        <v>3.4390134530466486E-2</v>
      </c>
    </row>
  </sheetData>
  <hyperlinks>
    <hyperlink ref="N2" location="DASHBOARD!A1" display="DASHBOARD"/>
  </hyperlink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/>
  </sheetPr>
  <dimension ref="B2:N58"/>
  <sheetViews>
    <sheetView showGridLines="0" zoomScale="70" zoomScaleNormal="70" workbookViewId="0">
      <pane ySplit="2" topLeftCell="A3" activePane="bottomLeft" state="frozen"/>
      <selection activeCell="G12" sqref="G12"/>
      <selection pane="bottomLeft" activeCell="N2" sqref="N2"/>
    </sheetView>
  </sheetViews>
  <sheetFormatPr defaultRowHeight="15" x14ac:dyDescent="0.25"/>
  <cols>
    <col min="1" max="1" width="9.140625" style="28"/>
    <col min="2" max="2" width="70.7109375" style="28" customWidth="1"/>
    <col min="3" max="3" width="11.5703125" style="54" bestFit="1" customWidth="1"/>
    <col min="4" max="4" width="13" style="28" bestFit="1" customWidth="1"/>
    <col min="5" max="5" width="11.7109375" style="28" bestFit="1" customWidth="1"/>
    <col min="6" max="6" width="13" style="28" bestFit="1" customWidth="1"/>
    <col min="7" max="7" width="11.7109375" style="28" bestFit="1" customWidth="1"/>
    <col min="8" max="8" width="10.42578125" style="28" customWidth="1"/>
    <col min="9" max="16384" width="9.140625" style="28"/>
  </cols>
  <sheetData>
    <row r="2" spans="2:14" x14ac:dyDescent="0.25">
      <c r="B2" s="85" t="s">
        <v>0</v>
      </c>
      <c r="C2" s="116" t="s">
        <v>1</v>
      </c>
      <c r="D2" s="116" t="s">
        <v>2</v>
      </c>
      <c r="E2" s="116" t="s">
        <v>3</v>
      </c>
      <c r="F2" s="116" t="s">
        <v>4</v>
      </c>
      <c r="G2" s="116" t="s">
        <v>5</v>
      </c>
      <c r="H2" s="116" t="s">
        <v>6</v>
      </c>
      <c r="I2" s="116" t="s">
        <v>7</v>
      </c>
      <c r="J2" s="116" t="s">
        <v>8</v>
      </c>
      <c r="K2" s="116" t="s">
        <v>9</v>
      </c>
      <c r="L2" s="116" t="s">
        <v>10</v>
      </c>
      <c r="N2" s="185" t="s">
        <v>432</v>
      </c>
    </row>
    <row r="3" spans="2:14" x14ac:dyDescent="0.25">
      <c r="B3" s="117" t="s">
        <v>86</v>
      </c>
      <c r="C3" s="103">
        <f>SUM(C4:C26)</f>
        <v>806.83999999999924</v>
      </c>
      <c r="D3" s="103">
        <f t="shared" ref="D3:L3" si="0">SUM(D4:D26)</f>
        <v>1280.1400000000021</v>
      </c>
      <c r="E3" s="103">
        <f t="shared" si="0"/>
        <v>1375.14</v>
      </c>
      <c r="F3" s="103">
        <f t="shared" si="0"/>
        <v>1372.3500000000029</v>
      </c>
      <c r="G3" s="103">
        <f t="shared" si="0"/>
        <v>2630.2699999999968</v>
      </c>
      <c r="H3" s="103">
        <f t="shared" si="0"/>
        <v>2174.0547234198129</v>
      </c>
      <c r="I3" s="103">
        <f t="shared" si="0"/>
        <v>3898.2367045696128</v>
      </c>
      <c r="J3" s="103">
        <f t="shared" si="0"/>
        <v>3701.9511218018606</v>
      </c>
      <c r="K3" s="103">
        <f t="shared" si="0"/>
        <v>5072.3591186111944</v>
      </c>
      <c r="L3" s="103">
        <f t="shared" si="0"/>
        <v>5024.2603845148906</v>
      </c>
    </row>
    <row r="4" spans="2:14" x14ac:dyDescent="0.25">
      <c r="B4" s="86" t="s">
        <v>64</v>
      </c>
      <c r="C4" s="54">
        <f>IS!C17</f>
        <v>1421.9399999999987</v>
      </c>
      <c r="D4" s="54">
        <f>IS!D17</f>
        <v>1744.7700000000018</v>
      </c>
      <c r="E4" s="54">
        <f>IS!E17</f>
        <v>1483.45</v>
      </c>
      <c r="F4" s="54">
        <f>IS!F17</f>
        <v>2064.1200000000026</v>
      </c>
      <c r="G4" s="54">
        <f>IS!G17</f>
        <v>3060.0899999999974</v>
      </c>
      <c r="H4" s="54">
        <f>IS!H17</f>
        <v>3853.9012297888758</v>
      </c>
      <c r="I4" s="54">
        <f>IS!I17</f>
        <v>4658.13608757982</v>
      </c>
      <c r="J4" s="54">
        <f>IS!J17</f>
        <v>5338.2634427444309</v>
      </c>
      <c r="K4" s="54">
        <f>IS!K17</f>
        <v>6150.2910567850076</v>
      </c>
      <c r="L4" s="54">
        <f>IS!L17</f>
        <v>7165.9677110695156</v>
      </c>
    </row>
    <row r="5" spans="2:14" x14ac:dyDescent="0.25">
      <c r="B5" s="86" t="s">
        <v>65</v>
      </c>
      <c r="C5" s="54">
        <f>IS!C14</f>
        <v>212.49</v>
      </c>
      <c r="D5" s="54">
        <f>IS!D14</f>
        <v>374.41</v>
      </c>
      <c r="E5" s="54">
        <f>IS!E14</f>
        <v>414.16</v>
      </c>
      <c r="F5" s="54">
        <f>IS!F14</f>
        <v>498.08</v>
      </c>
      <c r="G5" s="54">
        <f>IS!G14</f>
        <v>638.87</v>
      </c>
      <c r="H5" s="54">
        <f>IS!H14</f>
        <v>481.27838003498232</v>
      </c>
      <c r="I5" s="54">
        <f>IS!I14</f>
        <v>600.28539925512882</v>
      </c>
      <c r="J5" s="54">
        <f>IS!J14</f>
        <v>719.03276711576018</v>
      </c>
      <c r="K5" s="54">
        <f>IS!K14</f>
        <v>825.71108455421313</v>
      </c>
      <c r="L5" s="54">
        <f>IS!L14</f>
        <v>866.54625147057823</v>
      </c>
    </row>
    <row r="6" spans="2:14" x14ac:dyDescent="0.25">
      <c r="B6" s="86" t="s">
        <v>22</v>
      </c>
      <c r="C6" s="54">
        <f>IS!C16</f>
        <v>47.21</v>
      </c>
      <c r="D6" s="54">
        <f>IS!D16</f>
        <v>69.12</v>
      </c>
      <c r="E6" s="54">
        <f>IS!E16</f>
        <v>41.65</v>
      </c>
      <c r="F6" s="54">
        <f>IS!F16</f>
        <v>53.79</v>
      </c>
      <c r="G6" s="54">
        <f>IS!G16</f>
        <v>67.41</v>
      </c>
      <c r="H6" s="54">
        <f>IS!H16</f>
        <v>67.41</v>
      </c>
      <c r="I6" s="54">
        <f>IS!I16</f>
        <v>67.41</v>
      </c>
      <c r="J6" s="54">
        <f>IS!J16</f>
        <v>67.41</v>
      </c>
      <c r="K6" s="54">
        <f>IS!K16</f>
        <v>67.41</v>
      </c>
      <c r="L6" s="54">
        <f>IS!L16</f>
        <v>67.41</v>
      </c>
    </row>
    <row r="7" spans="2:14" x14ac:dyDescent="0.25">
      <c r="B7" s="86" t="s">
        <v>106</v>
      </c>
      <c r="C7" s="63">
        <v>-23.59</v>
      </c>
      <c r="D7" s="63">
        <v>-32.49</v>
      </c>
      <c r="E7" s="63">
        <v>-178.13</v>
      </c>
      <c r="F7" s="63">
        <v>-103.96</v>
      </c>
      <c r="G7" s="63">
        <v>-107.56</v>
      </c>
      <c r="H7" s="28">
        <f>G7</f>
        <v>-107.56</v>
      </c>
      <c r="I7" s="28">
        <f t="shared" ref="I7:L7" si="1">H7</f>
        <v>-107.56</v>
      </c>
      <c r="J7" s="28">
        <f t="shared" si="1"/>
        <v>-107.56</v>
      </c>
      <c r="K7" s="28">
        <f t="shared" si="1"/>
        <v>-107.56</v>
      </c>
      <c r="L7" s="28">
        <f t="shared" si="1"/>
        <v>-107.56</v>
      </c>
    </row>
    <row r="8" spans="2:14" x14ac:dyDescent="0.25">
      <c r="B8" s="86" t="s">
        <v>66</v>
      </c>
      <c r="C8" s="63">
        <v>-11.35</v>
      </c>
      <c r="D8" s="63">
        <v>-10.16</v>
      </c>
      <c r="E8" s="63">
        <v>-2.56</v>
      </c>
      <c r="F8" s="63">
        <v>-3.66</v>
      </c>
      <c r="G8" s="63">
        <v>-8.83</v>
      </c>
      <c r="H8" s="87"/>
      <c r="I8" s="87"/>
      <c r="J8" s="87"/>
      <c r="K8" s="87"/>
      <c r="L8" s="87"/>
    </row>
    <row r="9" spans="2:14" x14ac:dyDescent="0.25">
      <c r="B9" s="86" t="s">
        <v>67</v>
      </c>
      <c r="C9" s="63">
        <v>17.149999999999999</v>
      </c>
      <c r="D9" s="63">
        <v>8.4600000000000009</v>
      </c>
      <c r="E9" s="63">
        <v>6.38</v>
      </c>
      <c r="F9" s="63">
        <v>6.42</v>
      </c>
      <c r="G9" s="63">
        <v>12.01</v>
      </c>
      <c r="H9" s="87"/>
      <c r="I9" s="87"/>
      <c r="J9" s="87"/>
      <c r="K9" s="87"/>
      <c r="L9" s="87"/>
    </row>
    <row r="10" spans="2:14" x14ac:dyDescent="0.25">
      <c r="B10" s="86" t="s">
        <v>68</v>
      </c>
      <c r="C10" s="63">
        <v>-3.6</v>
      </c>
      <c r="D10" s="63">
        <v>-2.88</v>
      </c>
      <c r="E10" s="63">
        <v>-2.89</v>
      </c>
      <c r="F10" s="63">
        <v>-3.55</v>
      </c>
      <c r="G10" s="63">
        <v>-4.6900000000000004</v>
      </c>
      <c r="H10" s="87"/>
      <c r="I10" s="87"/>
      <c r="J10" s="87"/>
      <c r="K10" s="87"/>
      <c r="L10" s="87"/>
    </row>
    <row r="11" spans="2:14" x14ac:dyDescent="0.25">
      <c r="B11" s="86" t="s">
        <v>69</v>
      </c>
      <c r="C11" s="63">
        <v>-0.99</v>
      </c>
      <c r="D11" s="63">
        <v>-2.4500000000000002</v>
      </c>
      <c r="E11" s="63">
        <v>1.78</v>
      </c>
      <c r="F11" s="63">
        <v>3.85</v>
      </c>
      <c r="G11" s="63">
        <v>1.74</v>
      </c>
      <c r="H11" s="87"/>
      <c r="I11" s="87"/>
      <c r="J11" s="87"/>
      <c r="K11" s="87"/>
      <c r="L11" s="87"/>
    </row>
    <row r="12" spans="2:14" x14ac:dyDescent="0.25">
      <c r="B12" s="88" t="s">
        <v>77</v>
      </c>
      <c r="H12" s="87"/>
      <c r="I12" s="87"/>
      <c r="J12" s="87"/>
      <c r="K12" s="87"/>
      <c r="L12" s="87"/>
    </row>
    <row r="13" spans="2:14" x14ac:dyDescent="0.25">
      <c r="B13" s="86" t="s">
        <v>70</v>
      </c>
      <c r="C13" s="28">
        <v>145.99</v>
      </c>
      <c r="D13" s="28">
        <f>BS!D26-BS!C26</f>
        <v>-29.819999999999936</v>
      </c>
      <c r="E13" s="28">
        <f>BS!E26-BS!D26</f>
        <v>144.67999999999995</v>
      </c>
      <c r="F13" s="28">
        <f>BS!F26-BS!E26</f>
        <v>11.069999999999936</v>
      </c>
      <c r="G13" s="28">
        <f>BS!G26-BS!F26</f>
        <v>164.59000000000003</v>
      </c>
      <c r="H13" s="28">
        <f>BS!H26-BS!G26</f>
        <v>495.84401631435298</v>
      </c>
      <c r="I13" s="28">
        <f>BS!I26-BS!H26</f>
        <v>-75.717428738735634</v>
      </c>
      <c r="J13" s="28">
        <f>BS!J26-BS!I26</f>
        <v>439.2500193222304</v>
      </c>
      <c r="K13" s="28">
        <f>BS!K26-BS!J26</f>
        <v>-21.187540151210669</v>
      </c>
      <c r="L13" s="28">
        <f>BS!L26-BS!K26</f>
        <v>501.95939119788341</v>
      </c>
    </row>
    <row r="14" spans="2:14" x14ac:dyDescent="0.25">
      <c r="B14" s="86" t="s">
        <v>71</v>
      </c>
      <c r="C14" s="63">
        <v>-1.1499999999999999</v>
      </c>
      <c r="D14" s="63">
        <v>-3.04</v>
      </c>
      <c r="E14" s="63">
        <v>6.24</v>
      </c>
      <c r="F14" s="63">
        <v>6.53</v>
      </c>
      <c r="G14" s="63">
        <v>7.99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</row>
    <row r="15" spans="2:14" x14ac:dyDescent="0.25">
      <c r="B15" s="86" t="s">
        <v>72</v>
      </c>
      <c r="C15" s="63">
        <v>-29.45</v>
      </c>
      <c r="D15" s="63">
        <v>24.28</v>
      </c>
      <c r="E15" s="63">
        <v>48.87</v>
      </c>
      <c r="F15" s="63">
        <v>-6.91</v>
      </c>
      <c r="G15" s="63">
        <v>-7.11</v>
      </c>
      <c r="H15" s="63">
        <v>0</v>
      </c>
      <c r="I15" s="63">
        <v>0</v>
      </c>
      <c r="J15" s="63">
        <v>0</v>
      </c>
      <c r="K15" s="63">
        <v>0</v>
      </c>
      <c r="L15" s="63">
        <v>0</v>
      </c>
    </row>
    <row r="16" spans="2:14" x14ac:dyDescent="0.25">
      <c r="B16" s="86" t="s">
        <v>73</v>
      </c>
      <c r="C16" s="63">
        <v>10.45</v>
      </c>
      <c r="D16" s="63">
        <v>-2.2400000000000002</v>
      </c>
      <c r="E16" s="63">
        <v>20.03</v>
      </c>
      <c r="F16" s="63">
        <v>17.64</v>
      </c>
      <c r="G16" s="63">
        <v>62.81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</row>
    <row r="17" spans="2:12" x14ac:dyDescent="0.25">
      <c r="B17" s="86" t="s">
        <v>74</v>
      </c>
      <c r="C17" s="63">
        <v>0.31</v>
      </c>
      <c r="D17" s="63">
        <v>0.43</v>
      </c>
      <c r="E17" s="63">
        <v>0.97</v>
      </c>
      <c r="F17" s="63">
        <v>2.42</v>
      </c>
      <c r="G17" s="63">
        <v>1.54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</row>
    <row r="18" spans="2:12" x14ac:dyDescent="0.25">
      <c r="B18" s="86" t="s">
        <v>75</v>
      </c>
      <c r="C18" s="64">
        <v>0</v>
      </c>
      <c r="D18" s="63">
        <v>-0.31</v>
      </c>
      <c r="E18" s="63">
        <v>-0.03</v>
      </c>
      <c r="F18" s="63">
        <v>-0.03</v>
      </c>
      <c r="G18" s="63">
        <v>0.06</v>
      </c>
      <c r="H18" s="63">
        <v>0</v>
      </c>
      <c r="I18" s="63">
        <v>0</v>
      </c>
      <c r="J18" s="63">
        <v>0</v>
      </c>
      <c r="K18" s="63">
        <v>0</v>
      </c>
      <c r="L18" s="63">
        <v>0</v>
      </c>
    </row>
    <row r="19" spans="2:12" x14ac:dyDescent="0.25">
      <c r="B19" s="86" t="s">
        <v>76</v>
      </c>
      <c r="C19" s="28">
        <v>-30.87</v>
      </c>
      <c r="D19" s="28">
        <f>BS!C7-BS!D7</f>
        <v>44.820000000000007</v>
      </c>
      <c r="E19" s="28">
        <f>BS!D7-BS!E7</f>
        <v>-24.029999999999998</v>
      </c>
      <c r="F19" s="28">
        <f>BS!E7-BS!F7</f>
        <v>-23.310000000000002</v>
      </c>
      <c r="G19" s="28">
        <f>BS!F7-BS!G7</f>
        <v>4.730000000000004</v>
      </c>
      <c r="H19" s="28">
        <f>BS!G7-BS!H7</f>
        <v>-72.721095823419972</v>
      </c>
      <c r="I19" s="28">
        <f>BS!H7-BS!I7</f>
        <v>31.400735017949614</v>
      </c>
      <c r="J19" s="28">
        <f>BS!I7-BS!J7</f>
        <v>-67.154953512283157</v>
      </c>
      <c r="K19" s="28">
        <f>BS!J7-BS!K7</f>
        <v>26.037602243799654</v>
      </c>
      <c r="L19" s="28">
        <f>BS!K7-BS!L7</f>
        <v>-73.322556202555802</v>
      </c>
    </row>
    <row r="20" spans="2:12" x14ac:dyDescent="0.25">
      <c r="B20" s="86" t="s">
        <v>78</v>
      </c>
      <c r="C20" s="28">
        <v>-445.2</v>
      </c>
      <c r="D20" s="28">
        <f>BS!C5-BS!D5</f>
        <v>-338.75</v>
      </c>
      <c r="E20" s="28">
        <f>BS!D5-BS!E5</f>
        <v>-300.88000000000011</v>
      </c>
      <c r="F20" s="28">
        <f>BS!E5-BS!F5</f>
        <v>-494.37999999999965</v>
      </c>
      <c r="G20" s="28">
        <f>BS!F5-BS!G5</f>
        <v>-500.82000000000016</v>
      </c>
      <c r="H20" s="28">
        <f>BS!G5-BS!H5</f>
        <v>-1580.6224994477593</v>
      </c>
      <c r="I20" s="28">
        <f>BS!H5-BS!I5</f>
        <v>-111.18406664959548</v>
      </c>
      <c r="J20" s="28">
        <f>BS!I5-BS!J5</f>
        <v>-1352.7242931821693</v>
      </c>
      <c r="K20" s="28">
        <f>BS!J5-BS!K5</f>
        <v>-330.77032062436228</v>
      </c>
      <c r="L20" s="28">
        <f>BS!K5-BS!L5</f>
        <v>-1605.2484852531506</v>
      </c>
    </row>
    <row r="21" spans="2:12" x14ac:dyDescent="0.25">
      <c r="B21" s="86" t="s">
        <v>79</v>
      </c>
      <c r="C21" s="63">
        <v>51.65</v>
      </c>
      <c r="D21" s="63">
        <v>1.85</v>
      </c>
      <c r="E21" s="63">
        <v>11.73</v>
      </c>
      <c r="F21" s="63">
        <v>-2.98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</row>
    <row r="22" spans="2:12" x14ac:dyDescent="0.25">
      <c r="B22" s="86" t="s">
        <v>80</v>
      </c>
      <c r="C22" s="63">
        <v>9.66</v>
      </c>
      <c r="D22" s="63">
        <v>-11.33</v>
      </c>
      <c r="E22" s="63">
        <v>-15.26</v>
      </c>
      <c r="F22" s="63">
        <v>-6.79</v>
      </c>
      <c r="G22" s="63">
        <v>-18.989999999999998</v>
      </c>
      <c r="H22" s="63">
        <v>0</v>
      </c>
      <c r="I22" s="63">
        <v>0</v>
      </c>
      <c r="J22" s="63">
        <v>0</v>
      </c>
      <c r="K22" s="63">
        <v>0</v>
      </c>
      <c r="L22" s="63">
        <v>0</v>
      </c>
    </row>
    <row r="23" spans="2:12" x14ac:dyDescent="0.25">
      <c r="B23" s="86" t="s">
        <v>81</v>
      </c>
      <c r="C23" s="63">
        <v>-67.180000000000007</v>
      </c>
      <c r="D23" s="63">
        <v>-42.43</v>
      </c>
      <c r="E23" s="63">
        <v>-4.79</v>
      </c>
      <c r="F23" s="63">
        <v>-48.96</v>
      </c>
      <c r="G23" s="63">
        <v>-48.71</v>
      </c>
      <c r="H23" s="63">
        <v>0</v>
      </c>
      <c r="I23" s="63">
        <v>0</v>
      </c>
      <c r="J23" s="63">
        <v>0</v>
      </c>
      <c r="K23" s="63">
        <v>0</v>
      </c>
      <c r="L23" s="63">
        <v>0</v>
      </c>
    </row>
    <row r="24" spans="2:12" x14ac:dyDescent="0.25">
      <c r="B24" s="86" t="s">
        <v>82</v>
      </c>
      <c r="C24" s="63">
        <v>5.64</v>
      </c>
      <c r="D24" s="63">
        <v>-19.2</v>
      </c>
      <c r="E24" s="63">
        <v>-12.59</v>
      </c>
      <c r="F24" s="63">
        <v>-37.409999999999997</v>
      </c>
      <c r="G24" s="63">
        <v>13.91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</row>
    <row r="25" spans="2:12" x14ac:dyDescent="0.25">
      <c r="B25" s="86" t="s">
        <v>83</v>
      </c>
      <c r="C25" s="63">
        <v>-0.5</v>
      </c>
      <c r="D25" s="63">
        <v>-0.5</v>
      </c>
      <c r="E25" s="63">
        <v>-2.0699999999999998</v>
      </c>
      <c r="F25" s="63">
        <v>0.62</v>
      </c>
      <c r="G25" s="63">
        <v>0.12</v>
      </c>
      <c r="H25" s="63">
        <v>0</v>
      </c>
      <c r="I25" s="63">
        <v>0</v>
      </c>
      <c r="J25" s="63">
        <v>0</v>
      </c>
      <c r="K25" s="63">
        <v>0</v>
      </c>
      <c r="L25" s="63">
        <v>0</v>
      </c>
    </row>
    <row r="26" spans="2:12" x14ac:dyDescent="0.25">
      <c r="B26" s="89" t="s">
        <v>84</v>
      </c>
      <c r="C26" s="90">
        <v>-501.77</v>
      </c>
      <c r="D26" s="90">
        <v>-492.4</v>
      </c>
      <c r="E26" s="90">
        <v>-261.57</v>
      </c>
      <c r="F26" s="90">
        <v>-560.25</v>
      </c>
      <c r="G26" s="90">
        <v>-708.89</v>
      </c>
      <c r="H26" s="47">
        <f>-IS!H18</f>
        <v>-963.47530744721894</v>
      </c>
      <c r="I26" s="47">
        <f>-IS!I18</f>
        <v>-1164.534021894955</v>
      </c>
      <c r="J26" s="47">
        <f>-IS!J18</f>
        <v>-1334.5658606861077</v>
      </c>
      <c r="K26" s="47">
        <f>-IS!K18</f>
        <v>-1537.5727641962519</v>
      </c>
      <c r="L26" s="47">
        <f>-IS!L18</f>
        <v>-1791.4919277673789</v>
      </c>
    </row>
    <row r="28" spans="2:12" x14ac:dyDescent="0.25">
      <c r="B28" s="117" t="s">
        <v>87</v>
      </c>
      <c r="C28" s="103">
        <f>SUM(C29:C36)</f>
        <v>-958.36999999999989</v>
      </c>
      <c r="D28" s="103">
        <f t="shared" ref="D28:L28" si="2">SUM(D29:D36)</f>
        <v>-4656.5599999999995</v>
      </c>
      <c r="E28" s="103">
        <f t="shared" si="2"/>
        <v>-1110</v>
      </c>
      <c r="F28" s="103">
        <f t="shared" si="2"/>
        <v>-1289.49</v>
      </c>
      <c r="G28" s="103">
        <f t="shared" si="2"/>
        <v>-2313.1</v>
      </c>
      <c r="H28" s="103">
        <f t="shared" si="2"/>
        <v>-2481.4740688077</v>
      </c>
      <c r="I28" s="103">
        <f t="shared" si="2"/>
        <v>-3352.9387984189857</v>
      </c>
      <c r="J28" s="103">
        <f t="shared" si="2"/>
        <v>-3345.3886284920495</v>
      </c>
      <c r="K28" s="103">
        <f t="shared" si="2"/>
        <v>-2994.4434930059906</v>
      </c>
      <c r="L28" s="103">
        <f t="shared" si="2"/>
        <v>-1079.8493391576826</v>
      </c>
    </row>
    <row r="29" spans="2:12" x14ac:dyDescent="0.25">
      <c r="B29" s="86" t="s">
        <v>88</v>
      </c>
      <c r="C29" s="63">
        <v>8.44</v>
      </c>
      <c r="D29" s="63">
        <v>6.15</v>
      </c>
      <c r="E29" s="63">
        <v>1.88</v>
      </c>
      <c r="F29" s="63">
        <v>20.92</v>
      </c>
      <c r="G29" s="91">
        <v>5.46</v>
      </c>
      <c r="H29" s="28">
        <f>BS!H83</f>
        <v>26.425931192300169</v>
      </c>
      <c r="I29" s="28">
        <f>BS!I83</f>
        <v>38.167218782939486</v>
      </c>
      <c r="J29" s="28">
        <f>BS!J83</f>
        <v>38.083944953287705</v>
      </c>
      <c r="K29" s="28">
        <f>BS!K83</f>
        <v>34.213231351819495</v>
      </c>
      <c r="L29" s="28">
        <f>BS!L83</f>
        <v>13.096410278553623</v>
      </c>
    </row>
    <row r="30" spans="2:12" x14ac:dyDescent="0.25">
      <c r="B30" s="86" t="s">
        <v>89</v>
      </c>
      <c r="C30" s="63">
        <v>399.14</v>
      </c>
      <c r="D30" s="63">
        <v>92.58</v>
      </c>
      <c r="E30" s="63">
        <v>0</v>
      </c>
      <c r="F30" s="63">
        <v>1050</v>
      </c>
      <c r="G30" s="63">
        <v>37.4</v>
      </c>
      <c r="H30" s="63">
        <v>0</v>
      </c>
      <c r="I30" s="63">
        <v>0</v>
      </c>
      <c r="J30" s="63">
        <v>0</v>
      </c>
      <c r="K30" s="63">
        <v>0</v>
      </c>
      <c r="L30" s="63">
        <v>0</v>
      </c>
    </row>
    <row r="31" spans="2:12" x14ac:dyDescent="0.25">
      <c r="B31" s="86" t="s">
        <v>107</v>
      </c>
      <c r="C31" s="64">
        <v>0</v>
      </c>
      <c r="D31" s="63">
        <v>129</v>
      </c>
      <c r="E31" s="63">
        <v>783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</row>
    <row r="32" spans="2:12" x14ac:dyDescent="0.25">
      <c r="B32" s="86" t="s">
        <v>90</v>
      </c>
      <c r="C32" s="63">
        <v>36.35</v>
      </c>
      <c r="D32" s="63">
        <v>11.84</v>
      </c>
      <c r="E32" s="63">
        <v>129.09</v>
      </c>
      <c r="F32" s="63">
        <v>42.8</v>
      </c>
      <c r="G32" s="63">
        <v>38.72</v>
      </c>
      <c r="H32" s="28">
        <f>-H7</f>
        <v>107.56</v>
      </c>
      <c r="I32" s="28">
        <f t="shared" ref="I32:L32" si="3">-I7</f>
        <v>107.56</v>
      </c>
      <c r="J32" s="28">
        <f t="shared" si="3"/>
        <v>107.56</v>
      </c>
      <c r="K32" s="28">
        <f t="shared" si="3"/>
        <v>107.56</v>
      </c>
      <c r="L32" s="28">
        <f t="shared" si="3"/>
        <v>107.56</v>
      </c>
    </row>
    <row r="33" spans="2:12" x14ac:dyDescent="0.25">
      <c r="B33" s="86" t="s">
        <v>91</v>
      </c>
      <c r="C33" s="63">
        <v>11.35</v>
      </c>
      <c r="D33" s="63">
        <v>10.16</v>
      </c>
      <c r="E33" s="63">
        <v>2.56</v>
      </c>
      <c r="F33" s="63">
        <v>3.66</v>
      </c>
      <c r="G33" s="63">
        <v>5.66</v>
      </c>
      <c r="H33" s="63">
        <v>0</v>
      </c>
      <c r="I33" s="63">
        <v>0</v>
      </c>
      <c r="J33" s="63">
        <v>0</v>
      </c>
      <c r="K33" s="63">
        <v>0</v>
      </c>
      <c r="L33" s="63">
        <v>0</v>
      </c>
    </row>
    <row r="34" spans="2:12" x14ac:dyDescent="0.25">
      <c r="B34" s="86" t="s">
        <v>92</v>
      </c>
      <c r="C34" s="63">
        <v>3.15</v>
      </c>
      <c r="D34" s="63">
        <v>2.88</v>
      </c>
      <c r="E34" s="63">
        <v>2.89</v>
      </c>
      <c r="F34" s="63">
        <v>3.55</v>
      </c>
      <c r="G34" s="63">
        <v>4.6900000000000004</v>
      </c>
      <c r="H34" s="63">
        <v>0</v>
      </c>
      <c r="I34" s="63">
        <v>0</v>
      </c>
      <c r="J34" s="63">
        <v>0</v>
      </c>
      <c r="K34" s="63">
        <v>0</v>
      </c>
      <c r="L34" s="63">
        <v>0</v>
      </c>
    </row>
    <row r="35" spans="2:12" x14ac:dyDescent="0.25">
      <c r="B35" s="86" t="s">
        <v>93</v>
      </c>
      <c r="C35" s="63">
        <v>-1416.8</v>
      </c>
      <c r="D35" s="63">
        <v>-1712.17</v>
      </c>
      <c r="E35" s="63">
        <v>-2029.42</v>
      </c>
      <c r="F35" s="63">
        <v>-2410.42</v>
      </c>
      <c r="G35" s="63">
        <v>-2211.9499999999998</v>
      </c>
      <c r="H35" s="28">
        <f>-BS!H81</f>
        <v>-2422.38</v>
      </c>
      <c r="I35" s="28">
        <f>-BS!I81</f>
        <v>-3498.6660172019251</v>
      </c>
      <c r="J35" s="28">
        <f>-BS!J81</f>
        <v>-3491.0325734453372</v>
      </c>
      <c r="K35" s="28">
        <f>-BS!K81</f>
        <v>-3136.2167243578101</v>
      </c>
      <c r="L35" s="28">
        <f>-BS!L81</f>
        <v>-1200.5057494362363</v>
      </c>
    </row>
    <row r="36" spans="2:12" x14ac:dyDescent="0.25">
      <c r="B36" s="86" t="s">
        <v>95</v>
      </c>
      <c r="C36" s="64">
        <v>0</v>
      </c>
      <c r="D36" s="63">
        <v>-3197</v>
      </c>
      <c r="E36" s="63">
        <v>0</v>
      </c>
      <c r="F36" s="63">
        <v>0</v>
      </c>
      <c r="G36" s="63">
        <v>-193.08</v>
      </c>
      <c r="H36" s="63">
        <f>G36</f>
        <v>-193.08</v>
      </c>
      <c r="I36" s="63">
        <v>0</v>
      </c>
      <c r="J36" s="63">
        <v>0</v>
      </c>
      <c r="K36" s="63">
        <v>0</v>
      </c>
      <c r="L36" s="63">
        <v>0</v>
      </c>
    </row>
    <row r="38" spans="2:12" x14ac:dyDescent="0.25">
      <c r="B38" s="117" t="s">
        <v>94</v>
      </c>
      <c r="C38" s="103">
        <f>SUM(C39:C51)</f>
        <v>208.98000000000002</v>
      </c>
      <c r="D38" s="103">
        <f>SUM(D39:D51)</f>
        <v>3357.4200000000005</v>
      </c>
      <c r="E38" s="103">
        <f>SUM(E39:E51)</f>
        <v>-179.49999999999997</v>
      </c>
      <c r="F38" s="103">
        <f>SUM(F39:F51)</f>
        <v>-179.24</v>
      </c>
      <c r="G38" s="103">
        <f>SUM(G39:G51)</f>
        <v>-205.14000000000001</v>
      </c>
      <c r="H38" s="103">
        <f t="shared" ref="H38:L38" si="4">SUM(H39:H53)</f>
        <v>-287.05</v>
      </c>
      <c r="I38" s="103">
        <f t="shared" si="4"/>
        <v>-287.05</v>
      </c>
      <c r="J38" s="103">
        <f t="shared" si="4"/>
        <v>-287.05</v>
      </c>
      <c r="K38" s="103">
        <f t="shared" si="4"/>
        <v>-287.05</v>
      </c>
      <c r="L38" s="103">
        <f t="shared" si="4"/>
        <v>-287.05</v>
      </c>
    </row>
    <row r="39" spans="2:12" x14ac:dyDescent="0.25">
      <c r="B39" s="86" t="s">
        <v>96</v>
      </c>
      <c r="C39" s="64">
        <v>0</v>
      </c>
      <c r="D39" s="63">
        <v>110.34</v>
      </c>
      <c r="E39" s="63">
        <v>0</v>
      </c>
      <c r="F39" s="63">
        <v>0</v>
      </c>
      <c r="G39" s="63">
        <v>14.63</v>
      </c>
      <c r="H39" s="63">
        <v>0</v>
      </c>
      <c r="I39" s="63">
        <v>0</v>
      </c>
      <c r="J39" s="63">
        <v>0</v>
      </c>
      <c r="K39" s="63">
        <v>0</v>
      </c>
      <c r="L39" s="63">
        <v>0</v>
      </c>
    </row>
    <row r="40" spans="2:12" x14ac:dyDescent="0.25">
      <c r="B40" s="86" t="s">
        <v>108</v>
      </c>
      <c r="C40" s="64">
        <v>0</v>
      </c>
      <c r="D40" s="63">
        <v>4076.51</v>
      </c>
      <c r="E40" s="63">
        <v>0</v>
      </c>
      <c r="F40" s="63">
        <v>0</v>
      </c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63">
        <v>0</v>
      </c>
    </row>
    <row r="41" spans="2:12" x14ac:dyDescent="0.25">
      <c r="B41" s="86" t="s">
        <v>97</v>
      </c>
      <c r="C41" s="64">
        <v>0</v>
      </c>
      <c r="D41" s="63">
        <v>0</v>
      </c>
      <c r="E41" s="63">
        <v>0</v>
      </c>
      <c r="F41" s="63">
        <v>0</v>
      </c>
      <c r="G41" s="63">
        <v>0.91</v>
      </c>
      <c r="H41" s="63">
        <v>0</v>
      </c>
      <c r="I41" s="63">
        <v>0</v>
      </c>
      <c r="J41" s="63">
        <v>0</v>
      </c>
      <c r="K41" s="63">
        <v>0</v>
      </c>
      <c r="L41" s="63">
        <v>0</v>
      </c>
    </row>
    <row r="42" spans="2:12" x14ac:dyDescent="0.25">
      <c r="B42" s="86" t="s">
        <v>98</v>
      </c>
      <c r="C42" s="63">
        <f>150+55</f>
        <v>205</v>
      </c>
      <c r="D42" s="63">
        <f>50 + 261.03</f>
        <v>311.02999999999997</v>
      </c>
      <c r="E42" s="63">
        <v>200</v>
      </c>
      <c r="F42" s="63">
        <v>248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</row>
    <row r="43" spans="2:12" x14ac:dyDescent="0.25">
      <c r="B43" s="86" t="s">
        <v>99</v>
      </c>
      <c r="C43" s="63">
        <v>-4.55</v>
      </c>
      <c r="D43" s="63">
        <v>-315</v>
      </c>
      <c r="E43" s="63">
        <v>-203.73</v>
      </c>
      <c r="F43" s="63">
        <v>-248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63">
        <v>0</v>
      </c>
    </row>
    <row r="44" spans="2:12" x14ac:dyDescent="0.25">
      <c r="B44" s="86" t="s">
        <v>109</v>
      </c>
      <c r="C44" s="63">
        <v>786.52</v>
      </c>
      <c r="D44" s="63">
        <v>789.46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</row>
    <row r="45" spans="2:12" x14ac:dyDescent="0.25">
      <c r="B45" s="86" t="s">
        <v>110</v>
      </c>
      <c r="C45" s="64">
        <v>0</v>
      </c>
      <c r="D45" s="63">
        <v>300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</row>
    <row r="46" spans="2:12" x14ac:dyDescent="0.25">
      <c r="B46" s="86" t="s">
        <v>111</v>
      </c>
      <c r="C46" s="63">
        <v>-16</v>
      </c>
      <c r="D46" s="63">
        <v>-200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</row>
    <row r="47" spans="2:12" x14ac:dyDescent="0.25">
      <c r="B47" s="86" t="s">
        <v>112</v>
      </c>
      <c r="C47" s="63">
        <v>-540.99</v>
      </c>
      <c r="D47" s="63">
        <v>-1034.99</v>
      </c>
      <c r="E47" s="63">
        <v>0</v>
      </c>
      <c r="F47" s="63">
        <v>0</v>
      </c>
      <c r="G47" s="63">
        <v>0</v>
      </c>
      <c r="H47" s="63">
        <v>0</v>
      </c>
      <c r="I47" s="63">
        <v>0</v>
      </c>
      <c r="J47" s="63">
        <v>0</v>
      </c>
      <c r="K47" s="63">
        <v>0</v>
      </c>
      <c r="L47" s="63">
        <v>0</v>
      </c>
    </row>
    <row r="48" spans="2:12" x14ac:dyDescent="0.25">
      <c r="B48" s="86" t="s">
        <v>113</v>
      </c>
      <c r="C48" s="63">
        <v>-170</v>
      </c>
      <c r="D48" s="63">
        <v>-512</v>
      </c>
      <c r="E48" s="63">
        <v>-34</v>
      </c>
      <c r="F48" s="63">
        <v>0</v>
      </c>
      <c r="G48" s="63">
        <v>0</v>
      </c>
      <c r="H48" s="63">
        <v>0</v>
      </c>
      <c r="I48" s="63">
        <v>0</v>
      </c>
      <c r="J48" s="63">
        <v>0</v>
      </c>
      <c r="K48" s="63">
        <v>0</v>
      </c>
      <c r="L48" s="63">
        <v>0</v>
      </c>
    </row>
    <row r="49" spans="2:12" x14ac:dyDescent="0.25">
      <c r="B49" s="86" t="s">
        <v>100</v>
      </c>
      <c r="C49" s="64">
        <v>0</v>
      </c>
      <c r="D49" s="63">
        <v>-70.06</v>
      </c>
      <c r="E49" s="63">
        <v>-98.17</v>
      </c>
      <c r="F49" s="63">
        <v>-125.45</v>
      </c>
      <c r="G49" s="63">
        <v>-153.27000000000001</v>
      </c>
      <c r="H49" s="92">
        <f>G49</f>
        <v>-153.27000000000001</v>
      </c>
      <c r="I49" s="92">
        <f t="shared" ref="I49:L49" si="5">H49</f>
        <v>-153.27000000000001</v>
      </c>
      <c r="J49" s="92">
        <f t="shared" si="5"/>
        <v>-153.27000000000001</v>
      </c>
      <c r="K49" s="92">
        <f t="shared" si="5"/>
        <v>-153.27000000000001</v>
      </c>
      <c r="L49" s="92">
        <f t="shared" si="5"/>
        <v>-153.27000000000001</v>
      </c>
    </row>
    <row r="50" spans="2:12" x14ac:dyDescent="0.25">
      <c r="B50" s="86" t="s">
        <v>101</v>
      </c>
      <c r="C50" s="64">
        <v>0</v>
      </c>
      <c r="D50" s="63">
        <v>-29.7</v>
      </c>
      <c r="E50" s="63">
        <v>-37.5</v>
      </c>
      <c r="F50" s="63">
        <v>-52.23</v>
      </c>
      <c r="G50" s="63">
        <v>-66.37</v>
      </c>
      <c r="H50" s="92">
        <f>G50</f>
        <v>-66.37</v>
      </c>
      <c r="I50" s="92">
        <f t="shared" ref="I50:L50" si="6">H50</f>
        <v>-66.37</v>
      </c>
      <c r="J50" s="92">
        <f t="shared" si="6"/>
        <v>-66.37</v>
      </c>
      <c r="K50" s="92">
        <f t="shared" si="6"/>
        <v>-66.37</v>
      </c>
      <c r="L50" s="92">
        <f t="shared" si="6"/>
        <v>-66.37</v>
      </c>
    </row>
    <row r="51" spans="2:12" x14ac:dyDescent="0.25">
      <c r="B51" s="86" t="s">
        <v>102</v>
      </c>
      <c r="C51" s="63">
        <v>-51</v>
      </c>
      <c r="D51" s="63">
        <v>-68.17</v>
      </c>
      <c r="E51" s="63">
        <v>-6.1</v>
      </c>
      <c r="F51" s="63">
        <v>-1.56</v>
      </c>
      <c r="G51" s="63">
        <v>-1.04</v>
      </c>
      <c r="H51" s="28">
        <f>-IS!H16</f>
        <v>-67.41</v>
      </c>
      <c r="I51" s="28">
        <f>-IS!I16</f>
        <v>-67.41</v>
      </c>
      <c r="J51" s="28">
        <f>-IS!J16</f>
        <v>-67.41</v>
      </c>
      <c r="K51" s="28">
        <f>-IS!K16</f>
        <v>-67.41</v>
      </c>
      <c r="L51" s="28">
        <f>-IS!L16</f>
        <v>-67.41</v>
      </c>
    </row>
    <row r="56" spans="2:12" x14ac:dyDescent="0.25">
      <c r="B56" s="119" t="s">
        <v>103</v>
      </c>
      <c r="C56" s="47">
        <f t="shared" ref="C56:L56" si="7">C38+C28+C3</f>
        <v>57.449999999999363</v>
      </c>
      <c r="D56" s="47">
        <f t="shared" si="7"/>
        <v>-18.999999999996817</v>
      </c>
      <c r="E56" s="47">
        <f t="shared" si="7"/>
        <v>85.6400000000001</v>
      </c>
      <c r="F56" s="47">
        <f t="shared" si="7"/>
        <v>-96.379999999997153</v>
      </c>
      <c r="G56" s="47">
        <f t="shared" si="7"/>
        <v>112.02999999999702</v>
      </c>
      <c r="H56" s="47">
        <f t="shared" si="7"/>
        <v>-594.46934538788719</v>
      </c>
      <c r="I56" s="47">
        <f t="shared" si="7"/>
        <v>258.24790615062693</v>
      </c>
      <c r="J56" s="47">
        <f t="shared" si="7"/>
        <v>69.512493309810907</v>
      </c>
      <c r="K56" s="47">
        <f t="shared" si="7"/>
        <v>1790.8656256052036</v>
      </c>
      <c r="L56" s="47">
        <f t="shared" si="7"/>
        <v>3657.3610453572082</v>
      </c>
    </row>
    <row r="57" spans="2:12" x14ac:dyDescent="0.25">
      <c r="B57" s="28" t="s">
        <v>104</v>
      </c>
      <c r="C57" s="28">
        <v>67.41</v>
      </c>
      <c r="D57" s="28">
        <f>C58</f>
        <v>124.85999999999936</v>
      </c>
      <c r="E57" s="28">
        <f t="shared" ref="E57:G57" si="8">D58</f>
        <v>105.86000000000254</v>
      </c>
      <c r="F57" s="28">
        <f t="shared" si="8"/>
        <v>191.50000000000264</v>
      </c>
      <c r="G57" s="28">
        <f t="shared" si="8"/>
        <v>95.12000000000549</v>
      </c>
      <c r="H57" s="28">
        <f t="shared" ref="H57" si="9">G58</f>
        <v>207.15000000000251</v>
      </c>
      <c r="I57" s="28">
        <f t="shared" ref="I57" si="10">H58</f>
        <v>-387.31934538788471</v>
      </c>
      <c r="J57" s="28">
        <f t="shared" ref="J57" si="11">I58</f>
        <v>-129.07143923725778</v>
      </c>
      <c r="K57" s="28">
        <f t="shared" ref="K57" si="12">J58</f>
        <v>-59.558945927446871</v>
      </c>
      <c r="L57" s="28">
        <f t="shared" ref="L57" si="13">K58</f>
        <v>1731.3066796777566</v>
      </c>
    </row>
    <row r="58" spans="2:12" x14ac:dyDescent="0.25">
      <c r="B58" s="118" t="s">
        <v>105</v>
      </c>
      <c r="C58" s="103">
        <f>C57+C56</f>
        <v>124.85999999999936</v>
      </c>
      <c r="D58" s="103">
        <f t="shared" ref="D58:G58" si="14">D57+D56</f>
        <v>105.86000000000254</v>
      </c>
      <c r="E58" s="103">
        <f t="shared" si="14"/>
        <v>191.50000000000264</v>
      </c>
      <c r="F58" s="103">
        <f t="shared" si="14"/>
        <v>95.12000000000549</v>
      </c>
      <c r="G58" s="103">
        <f t="shared" si="14"/>
        <v>207.15000000000251</v>
      </c>
      <c r="H58" s="103">
        <f>H57+H56</f>
        <v>-387.31934538788471</v>
      </c>
      <c r="I58" s="103">
        <f>I57+I56</f>
        <v>-129.07143923725778</v>
      </c>
      <c r="J58" s="103">
        <f>J57+J56</f>
        <v>-59.558945927446871</v>
      </c>
      <c r="K58" s="103">
        <f>K57+K56</f>
        <v>1731.3066796777566</v>
      </c>
      <c r="L58" s="103">
        <f>L57+L56</f>
        <v>5388.6677250349649</v>
      </c>
    </row>
  </sheetData>
  <hyperlinks>
    <hyperlink ref="N2" location="DASHBOARD!A1" display="DASHBOARD"/>
  </hyperlink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B2:O38"/>
  <sheetViews>
    <sheetView showGridLines="0" zoomScale="85" zoomScaleNormal="85" workbookViewId="0">
      <selection activeCell="K2" sqref="K2"/>
    </sheetView>
  </sheetViews>
  <sheetFormatPr defaultRowHeight="15" x14ac:dyDescent="0.25"/>
  <cols>
    <col min="2" max="2" width="30.28515625" bestFit="1" customWidth="1"/>
    <col min="3" max="3" width="10.140625" customWidth="1"/>
    <col min="4" max="4" width="13.28515625" customWidth="1"/>
    <col min="5" max="7" width="9.7109375" bestFit="1" customWidth="1"/>
    <col min="9" max="9" width="10.85546875" customWidth="1"/>
    <col min="10" max="10" width="18.85546875" bestFit="1" customWidth="1"/>
  </cols>
  <sheetData>
    <row r="2" spans="2:11" x14ac:dyDescent="0.25">
      <c r="B2" s="93" t="s">
        <v>0</v>
      </c>
      <c r="C2" s="115" t="s">
        <v>4</v>
      </c>
      <c r="D2" s="115" t="s">
        <v>5</v>
      </c>
      <c r="E2" s="115" t="s">
        <v>6</v>
      </c>
      <c r="F2" s="115" t="s">
        <v>7</v>
      </c>
      <c r="G2" s="115" t="s">
        <v>8</v>
      </c>
      <c r="H2" s="115" t="s">
        <v>9</v>
      </c>
      <c r="I2" s="115" t="s">
        <v>10</v>
      </c>
      <c r="J2" s="28"/>
      <c r="K2" s="185" t="s">
        <v>432</v>
      </c>
    </row>
    <row r="3" spans="2:11" x14ac:dyDescent="0.25">
      <c r="B3" s="28" t="s">
        <v>196</v>
      </c>
      <c r="C3" s="28"/>
      <c r="D3" s="28">
        <f>IS!C15*(1-25%)</f>
        <v>1101.862499999999</v>
      </c>
      <c r="E3" s="28">
        <f>IS!D15*(1-25%)</f>
        <v>1360.4175000000014</v>
      </c>
      <c r="F3" s="28">
        <f>IS!E15*(1-25%)</f>
        <v>1143.825</v>
      </c>
      <c r="G3" s="28">
        <f>IS!F15*(1-25%)</f>
        <v>1588.4325000000019</v>
      </c>
      <c r="H3" s="28">
        <f>IS!G15*(1-25%)</f>
        <v>2345.6249999999982</v>
      </c>
      <c r="I3" s="28">
        <f>IS!H15*(1-25%)</f>
        <v>2940.9834223416565</v>
      </c>
      <c r="J3" s="28"/>
      <c r="K3" s="28"/>
    </row>
    <row r="4" spans="2:11" x14ac:dyDescent="0.25">
      <c r="B4" s="28" t="s">
        <v>197</v>
      </c>
      <c r="C4" s="28"/>
      <c r="D4" s="28">
        <f>IS!C14</f>
        <v>212.49</v>
      </c>
      <c r="E4" s="28">
        <f>IS!D14</f>
        <v>374.41</v>
      </c>
      <c r="F4" s="28">
        <f>IS!E14</f>
        <v>414.16</v>
      </c>
      <c r="G4" s="28">
        <f>IS!F14</f>
        <v>498.08</v>
      </c>
      <c r="H4" s="28">
        <f>IS!G14</f>
        <v>638.87</v>
      </c>
      <c r="I4" s="28">
        <f>IS!H14</f>
        <v>481.27838003498232</v>
      </c>
      <c r="J4" s="28"/>
      <c r="K4" s="28"/>
    </row>
    <row r="5" spans="2:11" x14ac:dyDescent="0.25">
      <c r="B5" s="28" t="s">
        <v>198</v>
      </c>
      <c r="C5" s="28"/>
      <c r="D5" s="28">
        <f>-CF!G35</f>
        <v>2211.9499999999998</v>
      </c>
      <c r="E5" s="28">
        <f>-CF!H35</f>
        <v>2422.38</v>
      </c>
      <c r="F5" s="28">
        <f>-CF!I35</f>
        <v>3498.6660172019251</v>
      </c>
      <c r="G5" s="28">
        <f>-CF!J35</f>
        <v>3491.0325734453372</v>
      </c>
      <c r="H5" s="28">
        <f>-CF!K35</f>
        <v>3136.2167243578101</v>
      </c>
      <c r="I5" s="28">
        <f>-CF!L35</f>
        <v>1200.5057494362363</v>
      </c>
      <c r="J5" s="28"/>
      <c r="K5" s="28"/>
    </row>
    <row r="6" spans="2:11" x14ac:dyDescent="0.25">
      <c r="B6" s="28" t="s">
        <v>199</v>
      </c>
      <c r="C6" s="28">
        <f>BS!F4-BS!F6</f>
        <v>3347.7299999999996</v>
      </c>
      <c r="D6" s="28">
        <f>BS!G4-BS!G6</f>
        <v>5241.2400000000007</v>
      </c>
      <c r="E6" s="28">
        <f>BS!H4-BS!H6</f>
        <v>6894.5835952711795</v>
      </c>
      <c r="F6" s="28">
        <f>BS!I4-BS!I6</f>
        <v>6974.366926902826</v>
      </c>
      <c r="G6" s="28">
        <f>BS!J4-BS!J6</f>
        <v>8394.2461735972774</v>
      </c>
      <c r="H6" s="28">
        <f>BS!K4-BS!K6</f>
        <v>8698.9788919778384</v>
      </c>
      <c r="I6" s="28">
        <f>BS!L4-BS!L6</f>
        <v>10377.549933433547</v>
      </c>
      <c r="J6" s="28"/>
      <c r="K6" s="28"/>
    </row>
    <row r="7" spans="2:11" x14ac:dyDescent="0.25">
      <c r="B7" s="28" t="s">
        <v>200</v>
      </c>
      <c r="C7" s="28">
        <f>0+(BS!F23-BS!F24-BS!F25)</f>
        <v>1078.5</v>
      </c>
      <c r="D7" s="28">
        <f>BS!G23-BS!G24-BS!G25</f>
        <v>1300.6899999999998</v>
      </c>
      <c r="E7" s="28">
        <f>BS!H23-BS!H24-BS!H25</f>
        <v>1796.534016314353</v>
      </c>
      <c r="F7" s="28">
        <f>BS!I23-BS!I24-BS!I25</f>
        <v>1720.8165875756174</v>
      </c>
      <c r="G7" s="28">
        <f>BS!J23-BS!J24-BS!J25</f>
        <v>2160.0666068978476</v>
      </c>
      <c r="H7" s="28">
        <f>BS!K23-BS!K24-BS!K25</f>
        <v>2138.8790667466369</v>
      </c>
      <c r="I7" s="28">
        <f>BS!L23-BS!L24-BS!L25</f>
        <v>2640.8384579445205</v>
      </c>
      <c r="J7" s="28"/>
      <c r="K7" s="28"/>
    </row>
    <row r="8" spans="2:11" x14ac:dyDescent="0.25">
      <c r="B8" s="28" t="s">
        <v>201</v>
      </c>
      <c r="C8" s="28">
        <f>C6-C7</f>
        <v>2269.2299999999996</v>
      </c>
      <c r="D8" s="28">
        <f>D6-D7</f>
        <v>3940.5500000000011</v>
      </c>
      <c r="E8" s="28">
        <f t="shared" ref="E8:I8" si="0">E6-E7</f>
        <v>5098.0495789568267</v>
      </c>
      <c r="F8" s="28">
        <f t="shared" si="0"/>
        <v>5253.5503393272083</v>
      </c>
      <c r="G8" s="28">
        <f t="shared" si="0"/>
        <v>6234.1795666994294</v>
      </c>
      <c r="H8" s="28">
        <f t="shared" si="0"/>
        <v>6560.099825231202</v>
      </c>
      <c r="I8" s="28">
        <f t="shared" si="0"/>
        <v>7736.7114754890263</v>
      </c>
      <c r="J8" s="28"/>
      <c r="K8" s="28"/>
    </row>
    <row r="9" spans="2:11" x14ac:dyDescent="0.25">
      <c r="B9" s="28" t="s">
        <v>202</v>
      </c>
      <c r="C9" s="28"/>
      <c r="D9" s="28">
        <f>D8-C8</f>
        <v>1671.3200000000015</v>
      </c>
      <c r="E9" s="28">
        <f t="shared" ref="E9:I9" si="1">E8-D8</f>
        <v>1157.4995789568256</v>
      </c>
      <c r="F9" s="28">
        <f t="shared" si="1"/>
        <v>155.50076037038161</v>
      </c>
      <c r="G9" s="28">
        <f t="shared" si="1"/>
        <v>980.62922737222107</v>
      </c>
      <c r="H9" s="28">
        <f t="shared" si="1"/>
        <v>325.92025853177256</v>
      </c>
      <c r="I9" s="28">
        <f t="shared" si="1"/>
        <v>1176.6116502578243</v>
      </c>
      <c r="J9" s="28"/>
      <c r="K9" s="28"/>
    </row>
    <row r="10" spans="2:11" x14ac:dyDescent="0.25">
      <c r="B10" s="122" t="s">
        <v>203</v>
      </c>
      <c r="C10" s="122"/>
      <c r="D10" s="122">
        <f>-(D3+D4-D5-D9)</f>
        <v>2568.9175000000023</v>
      </c>
      <c r="E10" s="122">
        <f t="shared" ref="E10:H10" si="2">-(E3+E4-E5-E9)</f>
        <v>1845.0520789568243</v>
      </c>
      <c r="F10" s="122">
        <f t="shared" si="2"/>
        <v>2096.1817775723066</v>
      </c>
      <c r="G10" s="122">
        <f t="shared" si="2"/>
        <v>2385.1493008175562</v>
      </c>
      <c r="H10" s="122">
        <f t="shared" si="2"/>
        <v>477.6419828895846</v>
      </c>
      <c r="I10" s="122">
        <f>(I3+I4-I5-I9)</f>
        <v>1045.1444026825784</v>
      </c>
      <c r="J10" s="28"/>
      <c r="K10" s="28"/>
    </row>
    <row r="11" spans="2:11" x14ac:dyDescent="0.25">
      <c r="B11" s="50" t="s">
        <v>204</v>
      </c>
      <c r="C11" s="50"/>
      <c r="D11" s="50"/>
      <c r="E11" s="50"/>
      <c r="F11" s="50"/>
      <c r="G11" s="50"/>
      <c r="H11" s="50"/>
      <c r="I11" s="49">
        <f>I10*(1+J11)/(WACC!C4-DCF!J11)</f>
        <v>35625.800308812009</v>
      </c>
      <c r="J11" s="120">
        <v>7.0000000000000007E-2</v>
      </c>
      <c r="K11" s="28" t="s">
        <v>221</v>
      </c>
    </row>
    <row r="12" spans="2:11" x14ac:dyDescent="0.25">
      <c r="B12" s="28" t="s">
        <v>205</v>
      </c>
      <c r="C12" s="28"/>
      <c r="D12" s="28">
        <f>D10+D11</f>
        <v>2568.9175000000023</v>
      </c>
      <c r="E12" s="28">
        <f t="shared" ref="E12:I12" si="3">E10+E11</f>
        <v>1845.0520789568243</v>
      </c>
      <c r="F12" s="28">
        <f t="shared" si="3"/>
        <v>2096.1817775723066</v>
      </c>
      <c r="G12" s="28">
        <f t="shared" si="3"/>
        <v>2385.1493008175562</v>
      </c>
      <c r="H12" s="28">
        <f t="shared" si="3"/>
        <v>477.6419828895846</v>
      </c>
      <c r="I12" s="28">
        <f t="shared" si="3"/>
        <v>36670.944711494587</v>
      </c>
      <c r="J12" s="28"/>
      <c r="K12" s="28"/>
    </row>
    <row r="13" spans="2:11" x14ac:dyDescent="0.25">
      <c r="B13" s="28" t="s">
        <v>206</v>
      </c>
      <c r="C13" s="28"/>
      <c r="D13" s="94">
        <f>WACC!C4</f>
        <v>0.10139029863684908</v>
      </c>
      <c r="E13" s="94">
        <f>D13</f>
        <v>0.10139029863684908</v>
      </c>
      <c r="F13" s="94">
        <f t="shared" ref="F13:I13" si="4">E13</f>
        <v>0.10139029863684908</v>
      </c>
      <c r="G13" s="94">
        <f t="shared" si="4"/>
        <v>0.10139029863684908</v>
      </c>
      <c r="H13" s="94">
        <f t="shared" si="4"/>
        <v>0.10139029863684908</v>
      </c>
      <c r="I13" s="94">
        <f t="shared" si="4"/>
        <v>0.10139029863684908</v>
      </c>
      <c r="J13" s="28"/>
      <c r="K13" s="28"/>
    </row>
    <row r="14" spans="2:11" x14ac:dyDescent="0.25">
      <c r="B14" s="28" t="s">
        <v>207</v>
      </c>
      <c r="C14" s="28"/>
      <c r="D14" s="28">
        <f>D12/1+D13</f>
        <v>2569.0188902986392</v>
      </c>
      <c r="E14" s="28">
        <f>E12/(1+E13)</f>
        <v>1675.2027698449663</v>
      </c>
      <c r="F14" s="28">
        <f>F12/(1+F13)^2</f>
        <v>1728.0107811357582</v>
      </c>
      <c r="G14" s="28">
        <f>G12/(1+G13)^3</f>
        <v>1785.2203509335798</v>
      </c>
      <c r="H14" s="28">
        <f>H12/(1+H13)^4</f>
        <v>324.59177104630368</v>
      </c>
      <c r="I14" s="28">
        <f>I12/(1+I13)^5</f>
        <v>22626.421046167779</v>
      </c>
      <c r="J14" s="28"/>
      <c r="K14" s="28"/>
    </row>
    <row r="15" spans="2:11" x14ac:dyDescent="0.25">
      <c r="B15" s="28" t="s">
        <v>208</v>
      </c>
      <c r="C15" s="59">
        <f>SUM(D14:I14)</f>
        <v>30708.465609427025</v>
      </c>
      <c r="D15" s="28"/>
      <c r="E15" s="28"/>
      <c r="F15" s="28"/>
      <c r="G15" s="28"/>
      <c r="H15" s="28"/>
      <c r="I15" s="28"/>
      <c r="J15" s="28"/>
      <c r="K15" s="28"/>
    </row>
    <row r="16" spans="2:11" x14ac:dyDescent="0.25">
      <c r="B16" s="28" t="s">
        <v>209</v>
      </c>
      <c r="C16" s="28">
        <f>WACC!C15</f>
        <v>642.98</v>
      </c>
      <c r="D16" s="28"/>
      <c r="E16" s="28"/>
      <c r="F16" s="28"/>
      <c r="G16" s="28"/>
      <c r="H16" s="28"/>
      <c r="I16" s="28"/>
      <c r="J16" s="28"/>
      <c r="K16" s="28"/>
    </row>
    <row r="17" spans="2:15" x14ac:dyDescent="0.25">
      <c r="B17" s="28" t="s">
        <v>210</v>
      </c>
      <c r="C17" s="28">
        <v>0</v>
      </c>
      <c r="D17" s="28"/>
      <c r="E17" s="28"/>
      <c r="F17" s="28"/>
      <c r="G17" s="28"/>
      <c r="H17" s="28"/>
      <c r="I17" s="28"/>
      <c r="J17" s="28"/>
      <c r="K17" s="28"/>
    </row>
    <row r="18" spans="2:15" x14ac:dyDescent="0.25">
      <c r="B18" s="28" t="s">
        <v>211</v>
      </c>
      <c r="C18" s="28">
        <v>0</v>
      </c>
      <c r="D18" s="28"/>
      <c r="E18" s="28"/>
      <c r="F18" s="28"/>
      <c r="G18" s="28"/>
      <c r="H18" s="28"/>
      <c r="I18" s="28"/>
      <c r="J18" s="28"/>
      <c r="K18" s="28"/>
    </row>
    <row r="19" spans="2:15" x14ac:dyDescent="0.25">
      <c r="B19" s="28" t="s">
        <v>212</v>
      </c>
      <c r="C19" s="28">
        <f>BS!G6</f>
        <v>207.15000000000251</v>
      </c>
      <c r="D19" s="28"/>
      <c r="E19" s="28"/>
      <c r="F19" s="28"/>
      <c r="G19" s="28"/>
      <c r="H19" s="28"/>
      <c r="I19" s="28"/>
      <c r="J19" s="28"/>
      <c r="K19" s="28"/>
    </row>
    <row r="20" spans="2:15" x14ac:dyDescent="0.25">
      <c r="B20" s="28" t="s">
        <v>213</v>
      </c>
      <c r="C20" s="28">
        <f>C15-C16-C19</f>
        <v>29858.335609427024</v>
      </c>
      <c r="D20" s="28"/>
      <c r="E20" s="28"/>
      <c r="F20" s="28"/>
      <c r="G20" s="28"/>
      <c r="H20" s="28"/>
      <c r="I20" s="28"/>
      <c r="J20" s="28"/>
      <c r="K20" s="28"/>
    </row>
    <row r="21" spans="2:15" x14ac:dyDescent="0.25">
      <c r="B21" s="28" t="s">
        <v>214</v>
      </c>
      <c r="C21" s="28">
        <v>65</v>
      </c>
      <c r="D21" s="28"/>
      <c r="E21" s="28"/>
      <c r="F21" s="28"/>
      <c r="G21" s="28"/>
      <c r="H21" s="28"/>
      <c r="I21" s="28"/>
      <c r="J21" s="28"/>
      <c r="K21" s="28"/>
    </row>
    <row r="22" spans="2:15" x14ac:dyDescent="0.25">
      <c r="B22" s="50" t="s">
        <v>265</v>
      </c>
      <c r="C22" s="50">
        <f>C20/C21</f>
        <v>459.35900937580038</v>
      </c>
      <c r="D22" s="28"/>
      <c r="E22" s="28"/>
      <c r="F22" s="28"/>
      <c r="G22" s="28"/>
      <c r="H22" s="28"/>
      <c r="I22" s="28"/>
      <c r="J22" s="28"/>
      <c r="K22" s="28"/>
    </row>
    <row r="23" spans="2:15" x14ac:dyDescent="0.25">
      <c r="B23" s="28" t="s">
        <v>215</v>
      </c>
      <c r="C23" s="28">
        <v>3702</v>
      </c>
      <c r="D23" s="28"/>
      <c r="E23" s="28"/>
      <c r="F23" s="28"/>
      <c r="G23" s="28"/>
      <c r="H23" s="28"/>
      <c r="I23" s="28"/>
      <c r="J23" s="28"/>
      <c r="K23" s="28"/>
    </row>
    <row r="24" spans="2:15" x14ac:dyDescent="0.25">
      <c r="B24" s="28" t="s">
        <v>216</v>
      </c>
      <c r="C24" s="35">
        <f>C23/C22-1</f>
        <v>7.0590560420932196</v>
      </c>
      <c r="D24" s="28" t="s">
        <v>217</v>
      </c>
      <c r="E24" s="28"/>
      <c r="F24" s="28"/>
      <c r="G24" s="28"/>
      <c r="H24" s="28"/>
      <c r="I24" s="28"/>
      <c r="J24" s="28"/>
      <c r="K24" s="28"/>
    </row>
    <row r="25" spans="2:15" x14ac:dyDescent="0.25">
      <c r="B25" s="28" t="s">
        <v>164</v>
      </c>
      <c r="C25" s="94">
        <v>0.1014</v>
      </c>
      <c r="D25" s="28"/>
      <c r="E25" s="28"/>
      <c r="F25" s="28"/>
      <c r="G25" s="28"/>
      <c r="H25" s="28"/>
      <c r="I25" s="28"/>
      <c r="J25" s="28"/>
      <c r="K25" s="28"/>
    </row>
    <row r="26" spans="2:15" x14ac:dyDescent="0.25">
      <c r="B26" s="28" t="s">
        <v>219</v>
      </c>
      <c r="C26" s="28">
        <v>0.43</v>
      </c>
      <c r="D26" s="28"/>
      <c r="E26" s="28"/>
      <c r="F26" s="28"/>
      <c r="G26" s="28"/>
      <c r="H26" s="28"/>
      <c r="I26" s="28"/>
      <c r="J26" s="28"/>
      <c r="K26" s="28"/>
    </row>
    <row r="28" spans="2:15" x14ac:dyDescent="0.25">
      <c r="B28" s="51" t="s">
        <v>264</v>
      </c>
    </row>
    <row r="29" spans="2:15" x14ac:dyDescent="0.25">
      <c r="B29" t="s">
        <v>218</v>
      </c>
      <c r="J29" t="s">
        <v>220</v>
      </c>
    </row>
    <row r="30" spans="2:15" x14ac:dyDescent="0.25">
      <c r="B30" s="53">
        <f>C22</f>
        <v>459.35900937580038</v>
      </c>
      <c r="C30" s="95">
        <v>0.09</v>
      </c>
      <c r="D30" s="96">
        <v>9.5000000000000001E-2</v>
      </c>
      <c r="E30" s="96">
        <v>0.1014</v>
      </c>
      <c r="F30" s="96">
        <v>0.105</v>
      </c>
      <c r="G30" s="95">
        <v>0.11</v>
      </c>
      <c r="J30" s="98">
        <f>C22</f>
        <v>459.35900937580038</v>
      </c>
      <c r="K30" s="99">
        <v>0.32</v>
      </c>
      <c r="L30" s="99">
        <v>0.38</v>
      </c>
      <c r="M30" s="99">
        <v>0.43</v>
      </c>
      <c r="N30" s="99">
        <v>0.48</v>
      </c>
      <c r="O30" s="99">
        <v>0.53</v>
      </c>
    </row>
    <row r="31" spans="2:15" x14ac:dyDescent="0.25">
      <c r="B31" s="97">
        <v>5.5E-2</v>
      </c>
      <c r="C31" s="54">
        <f t="dataTable" ref="C31:G38" dt2D="1" dtr="1" r1="C25" r2="J11"/>
        <v>346.80354124313124</v>
      </c>
      <c r="D31" s="54">
        <v>346.80354124313124</v>
      </c>
      <c r="E31" s="54">
        <v>346.80354124313124</v>
      </c>
      <c r="F31" s="54">
        <v>346.80354124313124</v>
      </c>
      <c r="G31" s="54">
        <v>346.80354124313124</v>
      </c>
      <c r="J31" s="100">
        <v>5.5E-2</v>
      </c>
      <c r="K31" s="28">
        <f t="dataTable" ref="K31:O38" dt2D="1" dtr="1" r1="C26" r2="J11" ca="1"/>
        <v>346.80354124313124</v>
      </c>
      <c r="L31" s="28">
        <v>346.80354124313124</v>
      </c>
      <c r="M31" s="28">
        <v>346.80354124313124</v>
      </c>
      <c r="N31" s="28">
        <v>346.80354124313124</v>
      </c>
      <c r="O31" s="28">
        <v>346.80354124313124</v>
      </c>
    </row>
    <row r="32" spans="2:15" x14ac:dyDescent="0.25">
      <c r="B32" s="95">
        <v>0.06</v>
      </c>
      <c r="C32" s="54">
        <v>375.257469452203</v>
      </c>
      <c r="D32" s="54">
        <v>375.257469452203</v>
      </c>
      <c r="E32" s="54">
        <v>375.257469452203</v>
      </c>
      <c r="F32" s="54">
        <v>375.257469452203</v>
      </c>
      <c r="G32" s="54">
        <v>375.257469452203</v>
      </c>
      <c r="J32" s="95">
        <v>0.06</v>
      </c>
      <c r="K32" s="28">
        <v>375.257469452203</v>
      </c>
      <c r="L32" s="28">
        <v>375.257469452203</v>
      </c>
      <c r="M32" s="28">
        <v>375.257469452203</v>
      </c>
      <c r="N32" s="28">
        <v>375.257469452203</v>
      </c>
      <c r="O32" s="28">
        <v>375.257469452203</v>
      </c>
    </row>
    <row r="33" spans="2:15" x14ac:dyDescent="0.25">
      <c r="B33" s="96">
        <v>6.5000000000000002E-2</v>
      </c>
      <c r="C33" s="54">
        <v>411.53049485886112</v>
      </c>
      <c r="D33" s="54">
        <v>411.53049485886112</v>
      </c>
      <c r="E33" s="54">
        <v>411.53049485886112</v>
      </c>
      <c r="F33" s="54">
        <v>411.53049485886112</v>
      </c>
      <c r="G33" s="54">
        <v>411.53049485886112</v>
      </c>
      <c r="J33" s="96">
        <v>6.5000000000000002E-2</v>
      </c>
      <c r="K33" s="28">
        <v>411.53049485886112</v>
      </c>
      <c r="L33" s="28">
        <v>411.53049485886112</v>
      </c>
      <c r="M33" s="28">
        <v>411.53049485886112</v>
      </c>
      <c r="N33" s="28">
        <v>411.53049485886112</v>
      </c>
      <c r="O33" s="28">
        <v>411.53049485886112</v>
      </c>
    </row>
    <row r="34" spans="2:15" x14ac:dyDescent="0.25">
      <c r="B34" s="95">
        <v>7.0000000000000007E-2</v>
      </c>
      <c r="C34" s="54">
        <v>459.35900937580038</v>
      </c>
      <c r="D34" s="54">
        <v>459.35900937580038</v>
      </c>
      <c r="E34" s="55">
        <v>459.35900937580038</v>
      </c>
      <c r="F34" s="54">
        <v>459.35900937580038</v>
      </c>
      <c r="G34" s="54">
        <v>459.35900937580038</v>
      </c>
      <c r="J34" s="95">
        <v>7.0000000000000007E-2</v>
      </c>
      <c r="K34" s="28">
        <v>459.35900937580038</v>
      </c>
      <c r="L34" s="28">
        <v>459.35900937580038</v>
      </c>
      <c r="M34" s="56">
        <v>459.35900937580038</v>
      </c>
      <c r="N34" s="28">
        <v>459.35900937580038</v>
      </c>
      <c r="O34" s="28">
        <v>459.35900937580038</v>
      </c>
    </row>
    <row r="35" spans="2:15" x14ac:dyDescent="0.25">
      <c r="B35" s="96">
        <v>7.4999999999999997E-2</v>
      </c>
      <c r="C35" s="54">
        <v>525.31104540914839</v>
      </c>
      <c r="D35" s="54">
        <v>525.31104540914839</v>
      </c>
      <c r="E35" s="54">
        <v>525.31104540914839</v>
      </c>
      <c r="F35" s="54">
        <v>525.31104540914839</v>
      </c>
      <c r="G35" s="54">
        <v>525.31104540914839</v>
      </c>
      <c r="J35" s="96">
        <v>7.4999999999999997E-2</v>
      </c>
      <c r="K35" s="28">
        <v>525.31104540914839</v>
      </c>
      <c r="L35" s="28">
        <v>525.31104540914839</v>
      </c>
      <c r="M35" s="28">
        <v>525.31104540914839</v>
      </c>
      <c r="N35" s="28">
        <v>525.31104540914839</v>
      </c>
      <c r="O35" s="28">
        <v>525.31104540914839</v>
      </c>
    </row>
    <row r="36" spans="2:15" x14ac:dyDescent="0.25">
      <c r="B36" s="95">
        <v>0.08</v>
      </c>
      <c r="C36" s="54">
        <v>622.09576739655472</v>
      </c>
      <c r="D36" s="54">
        <v>622.09576739655472</v>
      </c>
      <c r="E36" s="54">
        <v>622.09576739655472</v>
      </c>
      <c r="F36" s="54">
        <v>622.09576739655472</v>
      </c>
      <c r="G36" s="54">
        <v>622.09576739655472</v>
      </c>
      <c r="J36" s="95">
        <v>0.08</v>
      </c>
      <c r="K36" s="28">
        <v>622.09576739655472</v>
      </c>
      <c r="L36" s="28">
        <v>622.09576739655472</v>
      </c>
      <c r="M36" s="28">
        <v>622.09576739655472</v>
      </c>
      <c r="N36" s="28">
        <v>622.09576739655472</v>
      </c>
      <c r="O36" s="28">
        <v>622.09576739655472</v>
      </c>
    </row>
    <row r="37" spans="2:15" x14ac:dyDescent="0.25">
      <c r="B37" s="96">
        <v>8.5000000000000006E-2</v>
      </c>
      <c r="C37" s="54">
        <v>777.93049459241558</v>
      </c>
      <c r="D37" s="54">
        <v>777.93049459241558</v>
      </c>
      <c r="E37" s="54">
        <v>777.93049459241558</v>
      </c>
      <c r="F37" s="54">
        <v>777.93049459241558</v>
      </c>
      <c r="G37" s="54">
        <v>777.93049459241558</v>
      </c>
      <c r="J37" s="96">
        <v>8.5000000000000006E-2</v>
      </c>
      <c r="K37" s="28">
        <v>777.93049459241558</v>
      </c>
      <c r="L37" s="28">
        <v>777.93049459241558</v>
      </c>
      <c r="M37" s="28">
        <v>777.93049459241558</v>
      </c>
      <c r="N37" s="28">
        <v>777.93049459241558</v>
      </c>
      <c r="O37" s="28">
        <v>777.93049459241558</v>
      </c>
    </row>
    <row r="38" spans="2:15" x14ac:dyDescent="0.25">
      <c r="B38" s="95">
        <v>0.09</v>
      </c>
      <c r="C38" s="54">
        <v>1070.5787788022378</v>
      </c>
      <c r="D38" s="54">
        <v>1070.5787788022378</v>
      </c>
      <c r="E38" s="54">
        <v>1070.5787788022378</v>
      </c>
      <c r="F38" s="54">
        <v>1070.5787788022378</v>
      </c>
      <c r="G38" s="54">
        <v>1070.5787788022378</v>
      </c>
      <c r="J38" s="95">
        <v>0.09</v>
      </c>
      <c r="K38" s="28">
        <v>1070.5787788022378</v>
      </c>
      <c r="L38" s="28">
        <v>1070.5787788022378</v>
      </c>
      <c r="M38" s="28">
        <v>1070.5787788022378</v>
      </c>
      <c r="N38" s="28">
        <v>1070.5787788022378</v>
      </c>
      <c r="O38" s="28">
        <v>1070.5787788022378</v>
      </c>
    </row>
  </sheetData>
  <hyperlinks>
    <hyperlink ref="K2" location="DASHBOARD!A1" display="DASHBOARD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C2:K22"/>
  <sheetViews>
    <sheetView showGridLines="0" zoomScale="85" zoomScaleNormal="85" workbookViewId="0">
      <selection activeCell="K2" sqref="K2"/>
    </sheetView>
  </sheetViews>
  <sheetFormatPr defaultRowHeight="15" x14ac:dyDescent="0.25"/>
  <cols>
    <col min="3" max="3" width="28.28515625" bestFit="1" customWidth="1"/>
  </cols>
  <sheetData>
    <row r="2" spans="3:11" x14ac:dyDescent="0.25">
      <c r="C2" s="20" t="s">
        <v>241</v>
      </c>
      <c r="D2" s="121" t="s">
        <v>2</v>
      </c>
      <c r="E2" s="121" t="s">
        <v>251</v>
      </c>
      <c r="F2" s="121" t="s">
        <v>252</v>
      </c>
      <c r="G2" s="121" t="s">
        <v>253</v>
      </c>
      <c r="H2" s="121" t="s">
        <v>6</v>
      </c>
      <c r="I2" s="121" t="s">
        <v>7</v>
      </c>
      <c r="K2" s="185" t="s">
        <v>432</v>
      </c>
    </row>
    <row r="3" spans="3:11" x14ac:dyDescent="0.25">
      <c r="C3" t="s">
        <v>242</v>
      </c>
      <c r="D3" s="28">
        <f>IS!G19</f>
        <v>2378.3399999999974</v>
      </c>
      <c r="E3" s="28">
        <f>IS!H19</f>
        <v>2890.4259223416566</v>
      </c>
      <c r="F3" s="28">
        <f>IS!I19</f>
        <v>3493.602065684865</v>
      </c>
      <c r="G3" s="28">
        <f>IS!J19</f>
        <v>4003.697582058323</v>
      </c>
      <c r="H3" s="28">
        <f>IS!K19</f>
        <v>4612.7182925887555</v>
      </c>
      <c r="I3" s="28">
        <f>IS!L19</f>
        <v>5374.4757833021367</v>
      </c>
    </row>
    <row r="4" spans="3:11" x14ac:dyDescent="0.25">
      <c r="C4" t="s">
        <v>243</v>
      </c>
      <c r="D4" s="28"/>
      <c r="E4" s="28">
        <f>AVERAGE(D5:E5)*E6</f>
        <v>1750.7985517342324</v>
      </c>
      <c r="F4" s="28">
        <f t="shared" ref="F4:I4" si="0">AVERAGE(E5:F5)*F6</f>
        <v>2017.8953712792236</v>
      </c>
      <c r="G4" s="28">
        <f t="shared" si="0"/>
        <v>2341.5346233852301</v>
      </c>
      <c r="H4" s="28">
        <f t="shared" si="0"/>
        <v>2721.6113485125425</v>
      </c>
      <c r="I4" s="28">
        <f t="shared" si="0"/>
        <v>3158.42183786742</v>
      </c>
    </row>
    <row r="5" spans="3:11" x14ac:dyDescent="0.25">
      <c r="C5" t="s">
        <v>244</v>
      </c>
      <c r="D5" s="28">
        <f>BS!G33</f>
        <v>16078.78</v>
      </c>
      <c r="E5" s="28">
        <f>BS!H33</f>
        <v>18457.039999999997</v>
      </c>
      <c r="F5" s="28">
        <f>BS!I33</f>
        <v>21347.465922341653</v>
      </c>
      <c r="G5" s="28">
        <f>BS!J33</f>
        <v>24841.06798802652</v>
      </c>
      <c r="H5" s="28">
        <f>BS!K33</f>
        <v>28844.765570084845</v>
      </c>
      <c r="I5" s="28">
        <f>BS!L33</f>
        <v>33457.483862673602</v>
      </c>
    </row>
    <row r="6" spans="3:11" x14ac:dyDescent="0.25">
      <c r="C6" t="s">
        <v>245</v>
      </c>
      <c r="E6" s="41">
        <f>WACC!C4</f>
        <v>0.10139029863684908</v>
      </c>
      <c r="F6" s="40">
        <f>E6</f>
        <v>0.10139029863684908</v>
      </c>
      <c r="G6" s="40">
        <f t="shared" ref="G6:I6" si="1">F6</f>
        <v>0.10139029863684908</v>
      </c>
      <c r="H6" s="40">
        <f t="shared" si="1"/>
        <v>0.10139029863684908</v>
      </c>
      <c r="I6" s="40">
        <f t="shared" si="1"/>
        <v>0.10139029863684908</v>
      </c>
    </row>
    <row r="7" spans="3:11" x14ac:dyDescent="0.25">
      <c r="C7" t="s">
        <v>246</v>
      </c>
      <c r="E7" s="28">
        <f>E3-E4</f>
        <v>1139.6273706074242</v>
      </c>
      <c r="F7" s="28">
        <f t="shared" ref="F7:I7" si="2">F3-F4</f>
        <v>1475.7066944056414</v>
      </c>
      <c r="G7" s="28">
        <f t="shared" si="2"/>
        <v>1662.1629586730928</v>
      </c>
      <c r="H7" s="28">
        <f t="shared" si="2"/>
        <v>1891.106944076213</v>
      </c>
      <c r="I7" s="28">
        <f t="shared" si="2"/>
        <v>2216.0539454347168</v>
      </c>
    </row>
    <row r="8" spans="3:11" x14ac:dyDescent="0.25">
      <c r="C8" t="s">
        <v>204</v>
      </c>
      <c r="I8" s="28">
        <f>I7*(1+7%)/(WACC!C4-7%)</f>
        <v>75538.55250142864</v>
      </c>
    </row>
    <row r="9" spans="3:11" x14ac:dyDescent="0.25">
      <c r="C9" t="s">
        <v>247</v>
      </c>
      <c r="E9" s="28">
        <f>E7+E8</f>
        <v>1139.6273706074242</v>
      </c>
      <c r="F9" s="28">
        <f t="shared" ref="F9:I9" si="3">F7+F8</f>
        <v>1475.7066944056414</v>
      </c>
      <c r="G9" s="28">
        <f t="shared" si="3"/>
        <v>1662.1629586730928</v>
      </c>
      <c r="H9" s="28">
        <f t="shared" si="3"/>
        <v>1891.106944076213</v>
      </c>
      <c r="I9" s="28">
        <f t="shared" si="3"/>
        <v>77754.606446863356</v>
      </c>
    </row>
    <row r="10" spans="3:11" x14ac:dyDescent="0.25">
      <c r="C10" t="s">
        <v>248</v>
      </c>
      <c r="E10" s="28">
        <f>E9/(1+WACC!$C$4)</f>
        <v>1034.7170953093555</v>
      </c>
      <c r="F10" s="28">
        <f>F9/(1+WACC!$C$4)^2</f>
        <v>1216.5152397615468</v>
      </c>
      <c r="G10" s="28">
        <f>G9/(1+WACC!$C$4)^3</f>
        <v>1244.0844434241776</v>
      </c>
      <c r="H10" s="28">
        <f>H9/(1+WACC!$C$4)^4</f>
        <v>1285.1419561198009</v>
      </c>
      <c r="I10" s="28">
        <f>I9/(1+WACC!$C$4)^5</f>
        <v>47975.542424309104</v>
      </c>
    </row>
    <row r="11" spans="3:11" x14ac:dyDescent="0.25">
      <c r="C11" t="s">
        <v>249</v>
      </c>
      <c r="D11" s="28">
        <f>SUM(E10:I10)</f>
        <v>52756.001158923988</v>
      </c>
    </row>
    <row r="12" spans="3:11" x14ac:dyDescent="0.25">
      <c r="C12" t="s">
        <v>244</v>
      </c>
      <c r="D12" s="28">
        <f>BS!G33</f>
        <v>16078.78</v>
      </c>
    </row>
    <row r="13" spans="3:11" x14ac:dyDescent="0.25">
      <c r="C13" s="8" t="s">
        <v>250</v>
      </c>
      <c r="D13" s="47">
        <f>D12+D11</f>
        <v>68834.781158923986</v>
      </c>
    </row>
    <row r="14" spans="3:11" x14ac:dyDescent="0.25">
      <c r="C14" t="s">
        <v>254</v>
      </c>
      <c r="D14">
        <v>65</v>
      </c>
    </row>
    <row r="17" spans="3:4" x14ac:dyDescent="0.25">
      <c r="C17" s="6" t="s">
        <v>255</v>
      </c>
      <c r="D17" s="61">
        <f>D13/D14</f>
        <v>1058.9966332142151</v>
      </c>
    </row>
    <row r="19" spans="3:4" x14ac:dyDescent="0.25">
      <c r="C19" t="s">
        <v>256</v>
      </c>
      <c r="D19">
        <v>3707</v>
      </c>
    </row>
    <row r="20" spans="3:4" x14ac:dyDescent="0.25">
      <c r="C20" t="s">
        <v>257</v>
      </c>
      <c r="D20" s="28">
        <f>D12/D14</f>
        <v>247.36584615384618</v>
      </c>
    </row>
    <row r="22" spans="3:4" x14ac:dyDescent="0.25">
      <c r="C22" s="6" t="s">
        <v>258</v>
      </c>
      <c r="D22" s="62">
        <f>D19/D20</f>
        <v>14.985900671568364</v>
      </c>
    </row>
  </sheetData>
  <hyperlinks>
    <hyperlink ref="K2" location="DASHBOARD!A1" display="DASHBOARD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C2:V25"/>
  <sheetViews>
    <sheetView showGridLines="0" zoomScale="85" zoomScaleNormal="85" workbookViewId="0">
      <selection activeCell="Q2" sqref="Q2"/>
    </sheetView>
  </sheetViews>
  <sheetFormatPr defaultRowHeight="15" x14ac:dyDescent="0.25"/>
  <cols>
    <col min="4" max="4" width="14.28515625" customWidth="1"/>
    <col min="5" max="5" width="12.85546875" customWidth="1"/>
    <col min="6" max="6" width="10.28515625" customWidth="1"/>
    <col min="7" max="7" width="8.7109375" customWidth="1"/>
    <col min="9" max="11" width="15.5703125" bestFit="1" customWidth="1"/>
  </cols>
  <sheetData>
    <row r="2" spans="3:22" x14ac:dyDescent="0.25">
      <c r="C2" s="27" t="s">
        <v>239</v>
      </c>
      <c r="D2" s="27" t="s">
        <v>222</v>
      </c>
      <c r="E2" s="27" t="s">
        <v>238</v>
      </c>
      <c r="F2" s="27" t="s">
        <v>231</v>
      </c>
      <c r="G2" s="27" t="s">
        <v>223</v>
      </c>
      <c r="H2" s="27" t="s">
        <v>236</v>
      </c>
      <c r="I2" s="27" t="s">
        <v>422</v>
      </c>
      <c r="J2" s="27" t="s">
        <v>423</v>
      </c>
      <c r="K2" s="27" t="s">
        <v>233</v>
      </c>
      <c r="L2" s="27" t="s">
        <v>235</v>
      </c>
      <c r="M2" s="27" t="s">
        <v>232</v>
      </c>
      <c r="N2" s="27" t="s">
        <v>237</v>
      </c>
      <c r="O2" s="27" t="s">
        <v>234</v>
      </c>
      <c r="Q2" s="185" t="s">
        <v>432</v>
      </c>
    </row>
    <row r="3" spans="3:22" x14ac:dyDescent="0.25">
      <c r="C3" s="4">
        <v>1</v>
      </c>
      <c r="D3" s="57" t="s">
        <v>224</v>
      </c>
      <c r="E3" s="58">
        <v>3705</v>
      </c>
      <c r="F3" s="58">
        <v>241096.61</v>
      </c>
      <c r="G3" s="58">
        <v>99.09</v>
      </c>
      <c r="H3" s="58">
        <v>37.42</v>
      </c>
      <c r="I3">
        <v>14.02</v>
      </c>
      <c r="J3">
        <v>5.03</v>
      </c>
      <c r="K3" s="58">
        <v>59.12</v>
      </c>
      <c r="L3" s="58">
        <v>15.95</v>
      </c>
      <c r="M3" s="58">
        <v>20.100000000000001</v>
      </c>
      <c r="N3" s="58">
        <v>14.14</v>
      </c>
      <c r="O3" s="58">
        <v>0.04</v>
      </c>
    </row>
    <row r="4" spans="3:22" x14ac:dyDescent="0.25">
      <c r="C4" s="4">
        <v>2</v>
      </c>
      <c r="D4" t="s">
        <v>225</v>
      </c>
      <c r="E4" s="28">
        <v>4060.1</v>
      </c>
      <c r="F4" s="28">
        <v>144331.46</v>
      </c>
      <c r="G4" s="28">
        <v>177.63</v>
      </c>
      <c r="H4" s="28">
        <v>23.54</v>
      </c>
      <c r="I4">
        <v>49.12</v>
      </c>
      <c r="J4">
        <v>12.71</v>
      </c>
      <c r="K4" s="28">
        <v>73</v>
      </c>
      <c r="L4" s="28">
        <v>11.94</v>
      </c>
      <c r="M4" s="28">
        <v>11.5</v>
      </c>
      <c r="N4" s="28">
        <v>3.75</v>
      </c>
      <c r="O4" s="28">
        <v>1.66</v>
      </c>
    </row>
    <row r="5" spans="3:22" x14ac:dyDescent="0.25">
      <c r="C5" s="4">
        <v>3</v>
      </c>
      <c r="D5" t="s">
        <v>226</v>
      </c>
      <c r="E5" s="28">
        <v>985.4</v>
      </c>
      <c r="F5" s="28">
        <v>23928.54</v>
      </c>
      <c r="G5" s="28">
        <v>58.74</v>
      </c>
      <c r="H5" s="28">
        <v>16.77</v>
      </c>
      <c r="I5">
        <v>18.05</v>
      </c>
      <c r="J5">
        <v>17.8</v>
      </c>
      <c r="K5" s="28">
        <v>34.21</v>
      </c>
      <c r="L5" s="28">
        <v>34.03</v>
      </c>
      <c r="M5" s="28">
        <v>39.17</v>
      </c>
      <c r="N5" s="28">
        <v>21.48</v>
      </c>
      <c r="O5" s="28">
        <v>0.27</v>
      </c>
    </row>
    <row r="6" spans="3:22" x14ac:dyDescent="0.25">
      <c r="C6" s="4">
        <v>4</v>
      </c>
      <c r="D6" t="s">
        <v>227</v>
      </c>
      <c r="E6" s="28">
        <v>623.6</v>
      </c>
      <c r="F6" s="28">
        <v>8618.2800000000007</v>
      </c>
      <c r="G6" s="28">
        <v>50.76</v>
      </c>
      <c r="H6" s="28">
        <v>12.29</v>
      </c>
      <c r="I6">
        <v>5.59</v>
      </c>
      <c r="J6">
        <v>1.58</v>
      </c>
      <c r="K6" s="28">
        <v>29.11</v>
      </c>
      <c r="L6" s="28">
        <v>34.96</v>
      </c>
      <c r="M6" s="28">
        <v>44.79</v>
      </c>
      <c r="N6" s="28">
        <v>13.76</v>
      </c>
      <c r="O6" s="28">
        <v>0.85</v>
      </c>
      <c r="V6" t="s">
        <v>233</v>
      </c>
    </row>
    <row r="7" spans="3:22" x14ac:dyDescent="0.25">
      <c r="C7" s="4">
        <v>5</v>
      </c>
      <c r="D7" t="s">
        <v>228</v>
      </c>
      <c r="E7" s="28">
        <v>690.55</v>
      </c>
      <c r="F7" s="28">
        <v>8254.65</v>
      </c>
      <c r="G7" s="28">
        <v>140.91999999999999</v>
      </c>
      <c r="H7" s="28">
        <v>4.91</v>
      </c>
      <c r="I7">
        <v>15.12</v>
      </c>
      <c r="J7">
        <v>4.91</v>
      </c>
      <c r="K7" s="28">
        <v>24.17</v>
      </c>
      <c r="L7" s="28">
        <v>3.26</v>
      </c>
      <c r="M7" s="28">
        <v>5.47</v>
      </c>
      <c r="N7" s="28">
        <v>1.77</v>
      </c>
      <c r="O7" s="28">
        <v>0.63</v>
      </c>
      <c r="V7">
        <v>59.97</v>
      </c>
    </row>
    <row r="8" spans="3:22" x14ac:dyDescent="0.25">
      <c r="C8" s="4">
        <v>6</v>
      </c>
      <c r="D8" t="s">
        <v>229</v>
      </c>
      <c r="E8" s="28">
        <v>210.6</v>
      </c>
      <c r="F8" s="28">
        <v>8102.89</v>
      </c>
      <c r="G8" s="28">
        <v>45.16</v>
      </c>
      <c r="H8" s="28">
        <v>4.67</v>
      </c>
      <c r="I8">
        <v>6.24</v>
      </c>
      <c r="J8">
        <v>1.31</v>
      </c>
      <c r="K8" s="28">
        <v>20.56</v>
      </c>
      <c r="L8" s="28">
        <v>13.79</v>
      </c>
      <c r="M8" s="28">
        <v>12</v>
      </c>
      <c r="N8" s="28">
        <v>5.43</v>
      </c>
      <c r="O8" s="28">
        <v>0.86</v>
      </c>
      <c r="V8">
        <v>72.41</v>
      </c>
    </row>
    <row r="9" spans="3:22" x14ac:dyDescent="0.25">
      <c r="C9" s="4">
        <v>7</v>
      </c>
      <c r="D9" t="s">
        <v>230</v>
      </c>
      <c r="E9" s="28">
        <v>2425.9</v>
      </c>
      <c r="F9" s="28">
        <v>5664.26</v>
      </c>
      <c r="G9" s="28">
        <v>75.2</v>
      </c>
      <c r="H9" s="28">
        <v>32.270000000000003</v>
      </c>
      <c r="I9">
        <v>8.74</v>
      </c>
      <c r="J9">
        <v>6.12</v>
      </c>
      <c r="K9" s="28">
        <v>34.99</v>
      </c>
      <c r="L9" s="28">
        <v>13.84</v>
      </c>
      <c r="M9" s="28">
        <v>17.43</v>
      </c>
      <c r="N9" s="28">
        <v>8.61</v>
      </c>
      <c r="O9" s="28">
        <v>0.21</v>
      </c>
      <c r="V9">
        <v>34.26</v>
      </c>
    </row>
    <row r="10" spans="3:22" x14ac:dyDescent="0.25">
      <c r="V10">
        <v>24.83</v>
      </c>
    </row>
    <row r="11" spans="3:22" x14ac:dyDescent="0.25">
      <c r="D11" s="59"/>
      <c r="E11" s="59"/>
      <c r="F11" s="6" t="s">
        <v>240</v>
      </c>
      <c r="G11" s="60">
        <f>MEDIAN(G3:G9)</f>
        <v>75.2</v>
      </c>
      <c r="H11" s="60">
        <f>MEDIAN(H3:H9)</f>
        <v>16.77</v>
      </c>
      <c r="I11" s="60">
        <f t="shared" ref="I11:J11" si="0">MEDIAN(I3:I9)</f>
        <v>14.02</v>
      </c>
      <c r="J11" s="60">
        <f t="shared" si="0"/>
        <v>5.03</v>
      </c>
      <c r="K11" s="60">
        <f>MEDIAN(K3:K9)</f>
        <v>34.21</v>
      </c>
      <c r="L11" s="28"/>
      <c r="M11" s="28"/>
      <c r="N11" s="28"/>
      <c r="V11">
        <v>28.46</v>
      </c>
    </row>
    <row r="12" spans="3:22" x14ac:dyDescent="0.25">
      <c r="D12" s="6"/>
      <c r="E12" s="6"/>
      <c r="F12" s="6" t="s">
        <v>116</v>
      </c>
      <c r="G12" s="60">
        <f>AVERAGE(G3:G9)</f>
        <v>92.5</v>
      </c>
      <c r="H12" s="60">
        <f>AVERAGE(H3:H9)</f>
        <v>18.838571428571431</v>
      </c>
      <c r="I12" s="60">
        <f t="shared" ref="I12:J12" si="1">AVERAGE(I3:I9)</f>
        <v>16.697142857142858</v>
      </c>
      <c r="J12" s="60">
        <f t="shared" si="1"/>
        <v>7.0657142857142858</v>
      </c>
      <c r="K12" s="60">
        <f>AVERAGE(K3:K9)</f>
        <v>39.308571428571433</v>
      </c>
      <c r="V12">
        <v>20.34</v>
      </c>
    </row>
    <row r="13" spans="3:22" x14ac:dyDescent="0.25">
      <c r="V13">
        <v>36.04</v>
      </c>
    </row>
    <row r="14" spans="3:22" x14ac:dyDescent="0.25">
      <c r="V14">
        <v>28.95</v>
      </c>
    </row>
    <row r="15" spans="3:22" x14ac:dyDescent="0.25">
      <c r="D15" t="s">
        <v>418</v>
      </c>
      <c r="I15" s="180" t="str">
        <f>ROUND(I11*$I$16,1) &amp; " To " &amp;ROUND(I12*I16,1)</f>
        <v>3468.1 To 4130.3</v>
      </c>
      <c r="J15" s="180" t="str">
        <f>ROUND(J11*J17,1) &amp; " To " &amp;ROUND(J12*J17,1)</f>
        <v>3325.1 To 4670.9</v>
      </c>
      <c r="K15" s="180" t="str">
        <f>ROUND(K11*K18,1) &amp; " To " &amp;ROUND(K12*K18,1)</f>
        <v>1982.3 To 2277.7</v>
      </c>
    </row>
    <row r="16" spans="3:22" x14ac:dyDescent="0.25">
      <c r="D16" t="s">
        <v>419</v>
      </c>
      <c r="H16" s="28"/>
      <c r="I16" s="59">
        <f>BS!G33/DCF!C21</f>
        <v>247.36584615384618</v>
      </c>
      <c r="J16" s="28"/>
    </row>
    <row r="17" spans="4:12" x14ac:dyDescent="0.25">
      <c r="D17" t="s">
        <v>420</v>
      </c>
      <c r="J17" s="59">
        <f>IS!G3/DCF!C21</f>
        <v>661.06</v>
      </c>
      <c r="K17" s="28"/>
    </row>
    <row r="18" spans="4:12" x14ac:dyDescent="0.25">
      <c r="D18" t="s">
        <v>421</v>
      </c>
      <c r="K18" s="59">
        <f>IS!G13/DCF!C21</f>
        <v>57.944153846153803</v>
      </c>
      <c r="L18" s="28"/>
    </row>
    <row r="20" spans="4:12" x14ac:dyDescent="0.25">
      <c r="D20" s="6" t="s">
        <v>428</v>
      </c>
    </row>
    <row r="21" spans="4:12" x14ac:dyDescent="0.25">
      <c r="E21" s="126" t="s">
        <v>398</v>
      </c>
      <c r="G21" s="28">
        <f>DCF!C22</f>
        <v>459.35900937580038</v>
      </c>
      <c r="H21" s="14">
        <v>0.1</v>
      </c>
      <c r="I21" s="28">
        <f>G21*H21</f>
        <v>45.935900937580044</v>
      </c>
    </row>
    <row r="22" spans="4:12" x14ac:dyDescent="0.25">
      <c r="E22" s="126" t="s">
        <v>246</v>
      </c>
      <c r="G22" s="28">
        <f>'Residual income'!D17</f>
        <v>1058.9966332142151</v>
      </c>
      <c r="H22" s="14">
        <v>0.6</v>
      </c>
      <c r="I22" s="28">
        <f t="shared" ref="I22:I24" si="2">G22*H22</f>
        <v>635.39797992852903</v>
      </c>
    </row>
    <row r="23" spans="4:12" x14ac:dyDescent="0.25">
      <c r="E23" s="126" t="s">
        <v>429</v>
      </c>
      <c r="G23">
        <v>3468</v>
      </c>
      <c r="H23" s="14">
        <v>0.2</v>
      </c>
      <c r="I23" s="28">
        <f t="shared" si="2"/>
        <v>693.6</v>
      </c>
    </row>
    <row r="24" spans="4:12" x14ac:dyDescent="0.25">
      <c r="E24" s="126" t="s">
        <v>430</v>
      </c>
      <c r="G24">
        <v>3325</v>
      </c>
      <c r="H24" s="14">
        <v>0.2</v>
      </c>
      <c r="I24" s="28">
        <f t="shared" si="2"/>
        <v>665</v>
      </c>
    </row>
    <row r="25" spans="4:12" x14ac:dyDescent="0.25">
      <c r="E25" s="8"/>
      <c r="F25" s="8"/>
      <c r="G25" s="8"/>
      <c r="H25" s="8"/>
      <c r="I25" s="182">
        <f>SUM(I21:I24)</f>
        <v>2039.9338808661091</v>
      </c>
      <c r="J25" s="1"/>
    </row>
  </sheetData>
  <hyperlinks>
    <hyperlink ref="Q2" location="DASHBOARD!A1" display="DASHBOARD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B2:K87"/>
  <sheetViews>
    <sheetView showGridLines="0" zoomScale="85" zoomScaleNormal="85" workbookViewId="0">
      <selection activeCell="D2" sqref="D2"/>
    </sheetView>
  </sheetViews>
  <sheetFormatPr defaultRowHeight="15" x14ac:dyDescent="0.25"/>
  <cols>
    <col min="2" max="2" width="27.7109375" bestFit="1" customWidth="1"/>
    <col min="3" max="3" width="13.28515625" customWidth="1"/>
    <col min="4" max="4" width="17" customWidth="1"/>
    <col min="5" max="5" width="14.28515625" bestFit="1" customWidth="1"/>
    <col min="6" max="6" width="14.7109375" bestFit="1" customWidth="1"/>
    <col min="7" max="7" width="14" bestFit="1" customWidth="1"/>
    <col min="8" max="8" width="22" bestFit="1" customWidth="1"/>
  </cols>
  <sheetData>
    <row r="2" spans="2:4" x14ac:dyDescent="0.25">
      <c r="B2" s="20" t="s">
        <v>163</v>
      </c>
      <c r="D2" s="185" t="s">
        <v>432</v>
      </c>
    </row>
    <row r="4" spans="2:4" x14ac:dyDescent="0.25">
      <c r="B4" s="6" t="s">
        <v>164</v>
      </c>
      <c r="C4" s="45">
        <f>C7*C8+C9*C10</f>
        <v>0.10139029863684908</v>
      </c>
    </row>
    <row r="5" spans="2:4" x14ac:dyDescent="0.25">
      <c r="B5" t="s">
        <v>165</v>
      </c>
      <c r="C5" s="14">
        <f>IS!H26</f>
        <v>2.8900299520115674E-2</v>
      </c>
    </row>
    <row r="6" spans="2:4" x14ac:dyDescent="0.25">
      <c r="B6" t="s">
        <v>166</v>
      </c>
      <c r="C6" s="14">
        <v>0.25</v>
      </c>
    </row>
    <row r="7" spans="2:4" x14ac:dyDescent="0.25">
      <c r="B7" t="s">
        <v>167</v>
      </c>
      <c r="C7" s="35">
        <f>C5*(1-C6)</f>
        <v>2.1675224640086754E-2</v>
      </c>
    </row>
    <row r="8" spans="2:4" x14ac:dyDescent="0.25">
      <c r="B8" t="s">
        <v>168</v>
      </c>
      <c r="C8" s="14">
        <f>D15</f>
        <v>2.6682105974994061E-3</v>
      </c>
    </row>
    <row r="9" spans="2:4" x14ac:dyDescent="0.25">
      <c r="B9" t="s">
        <v>169</v>
      </c>
      <c r="C9" s="45">
        <f>C20+C21*C23</f>
        <v>0.10160356427971606</v>
      </c>
    </row>
    <row r="10" spans="2:4" x14ac:dyDescent="0.25">
      <c r="B10" t="s">
        <v>170</v>
      </c>
      <c r="C10" s="14">
        <f>D14</f>
        <v>0.99733178940250056</v>
      </c>
    </row>
    <row r="12" spans="2:4" x14ac:dyDescent="0.25">
      <c r="B12" s="20" t="s">
        <v>174</v>
      </c>
    </row>
    <row r="14" spans="2:4" x14ac:dyDescent="0.25">
      <c r="B14" t="s">
        <v>175</v>
      </c>
      <c r="C14" s="22">
        <v>240335</v>
      </c>
      <c r="D14" s="35">
        <f>C14/C16</f>
        <v>0.99733178940250056</v>
      </c>
    </row>
    <row r="15" spans="2:4" x14ac:dyDescent="0.25">
      <c r="B15" t="s">
        <v>176</v>
      </c>
      <c r="C15" s="28">
        <f>BS!G24+BS!G25+BS!G29+BS!G30</f>
        <v>642.98</v>
      </c>
      <c r="D15" s="35">
        <f>C15/C16</f>
        <v>2.6682105974994061E-3</v>
      </c>
    </row>
    <row r="16" spans="2:4" x14ac:dyDescent="0.25">
      <c r="B16" s="8" t="s">
        <v>177</v>
      </c>
      <c r="C16" s="47">
        <f>SUM(C14:C15)</f>
        <v>240977.98</v>
      </c>
    </row>
    <row r="18" spans="2:11" x14ac:dyDescent="0.25">
      <c r="B18" s="20" t="s">
        <v>192</v>
      </c>
    </row>
    <row r="20" spans="2:11" x14ac:dyDescent="0.25">
      <c r="B20" t="s">
        <v>178</v>
      </c>
      <c r="C20" s="41">
        <v>7.0989999999999998E-2</v>
      </c>
      <c r="D20" s="39" t="s">
        <v>182</v>
      </c>
    </row>
    <row r="21" spans="2:11" x14ac:dyDescent="0.25">
      <c r="B21" t="s">
        <v>179</v>
      </c>
      <c r="C21" s="30">
        <f>K27</f>
        <v>0.43111624108880542</v>
      </c>
      <c r="D21" t="s">
        <v>191</v>
      </c>
    </row>
    <row r="22" spans="2:11" x14ac:dyDescent="0.25">
      <c r="B22" t="s">
        <v>180</v>
      </c>
      <c r="C22" s="40">
        <v>0.14199999999999999</v>
      </c>
      <c r="D22" t="s">
        <v>193</v>
      </c>
    </row>
    <row r="23" spans="2:11" x14ac:dyDescent="0.25">
      <c r="B23" t="s">
        <v>181</v>
      </c>
      <c r="C23" s="40">
        <f>C22-C20</f>
        <v>7.100999999999999E-2</v>
      </c>
    </row>
    <row r="25" spans="2:11" x14ac:dyDescent="0.25">
      <c r="B25" s="20" t="s">
        <v>183</v>
      </c>
    </row>
    <row r="26" spans="2:11" x14ac:dyDescent="0.25">
      <c r="C26" s="48" t="s">
        <v>184</v>
      </c>
      <c r="D26" s="48" t="s">
        <v>187</v>
      </c>
      <c r="E26" s="48" t="s">
        <v>188</v>
      </c>
      <c r="F26" s="48" t="s">
        <v>185</v>
      </c>
      <c r="G26" s="48" t="s">
        <v>186</v>
      </c>
      <c r="H26" s="48" t="s">
        <v>190</v>
      </c>
    </row>
    <row r="27" spans="2:11" x14ac:dyDescent="0.25">
      <c r="C27" s="42">
        <v>43525</v>
      </c>
      <c r="D27" s="28">
        <v>1471.099976</v>
      </c>
      <c r="E27" s="28">
        <v>11623.900390999999</v>
      </c>
      <c r="F27" s="35">
        <f>D27/D28-1</f>
        <v>0.13554610266306444</v>
      </c>
      <c r="G27" s="35">
        <f>E27/E28-1</f>
        <v>-1.0576132911542024E-2</v>
      </c>
      <c r="H27" s="35">
        <f>$K$27+$K$28*G27</f>
        <v>0.43120318067476604</v>
      </c>
      <c r="J27" s="44" t="s">
        <v>194</v>
      </c>
      <c r="K27" s="46">
        <f>SLOPE(F27:F87,G27:G87)</f>
        <v>0.43111624108880542</v>
      </c>
    </row>
    <row r="28" spans="2:11" x14ac:dyDescent="0.25">
      <c r="C28" s="42">
        <v>43556</v>
      </c>
      <c r="D28" s="28">
        <v>1295.5</v>
      </c>
      <c r="E28" s="28">
        <v>11748.150390999999</v>
      </c>
      <c r="F28" s="35">
        <f t="shared" ref="F28:F86" si="0">D28/D29-1</f>
        <v>-2.0860083516470396E-2</v>
      </c>
      <c r="G28" s="35">
        <f t="shared" ref="G28:G86" si="1">E28/E29-1</f>
        <v>-1.4648355827190818E-2</v>
      </c>
      <c r="H28" s="35">
        <f t="shared" ref="H28:H87" si="2">$K$27+$K$28*G28</f>
        <v>0.43123665580004922</v>
      </c>
      <c r="J28" s="44" t="s">
        <v>195</v>
      </c>
      <c r="K28" s="46">
        <f>INTERCEPT(F27:F87,G27:G87)</f>
        <v>-8.2203567870934545E-3</v>
      </c>
    </row>
    <row r="29" spans="2:11" x14ac:dyDescent="0.25">
      <c r="C29" s="42">
        <v>43586</v>
      </c>
      <c r="D29" s="28">
        <v>1323.099976</v>
      </c>
      <c r="E29" s="28">
        <v>11922.799805000001</v>
      </c>
      <c r="F29" s="35">
        <f t="shared" si="0"/>
        <v>-5.3508868099139573E-2</v>
      </c>
      <c r="G29" s="35">
        <f t="shared" si="1"/>
        <v>1.1362448452793661E-2</v>
      </c>
      <c r="H29" s="35">
        <f t="shared" si="2"/>
        <v>0.43102283770854849</v>
      </c>
    </row>
    <row r="30" spans="2:11" x14ac:dyDescent="0.25">
      <c r="C30" s="42">
        <v>43617</v>
      </c>
      <c r="D30" s="28">
        <v>1397.900024</v>
      </c>
      <c r="E30" s="28">
        <v>11788.849609000001</v>
      </c>
      <c r="F30" s="35">
        <f t="shared" si="0"/>
        <v>-5.7192911446990458E-2</v>
      </c>
      <c r="G30" s="35">
        <f t="shared" si="1"/>
        <v>6.033905459615041E-2</v>
      </c>
      <c r="H30" s="35">
        <f t="shared" si="2"/>
        <v>0.43062023253182913</v>
      </c>
    </row>
    <row r="31" spans="2:11" x14ac:dyDescent="0.25">
      <c r="C31" s="42">
        <v>43647</v>
      </c>
      <c r="D31" s="28">
        <v>1482.6999510000001</v>
      </c>
      <c r="E31" s="28">
        <v>11118</v>
      </c>
      <c r="F31" s="35">
        <f t="shared" si="0"/>
        <v>-5.6296389045531359E-2</v>
      </c>
      <c r="G31" s="35">
        <f t="shared" si="1"/>
        <v>8.5954686684961423E-3</v>
      </c>
      <c r="H31" s="35">
        <f t="shared" si="2"/>
        <v>0.43104558326959808</v>
      </c>
    </row>
    <row r="32" spans="2:11" x14ac:dyDescent="0.25">
      <c r="C32" s="42">
        <v>43678</v>
      </c>
      <c r="D32" s="28">
        <v>1571.150024</v>
      </c>
      <c r="E32" s="28">
        <v>11023.25</v>
      </c>
      <c r="F32" s="35">
        <f t="shared" si="0"/>
        <v>-0.15556807252157034</v>
      </c>
      <c r="G32" s="35">
        <f t="shared" si="1"/>
        <v>-3.9322162485537659E-2</v>
      </c>
      <c r="H32" s="35">
        <f t="shared" si="2"/>
        <v>0.43143948329407661</v>
      </c>
    </row>
    <row r="33" spans="3:8" x14ac:dyDescent="0.25">
      <c r="C33" s="42">
        <v>43709</v>
      </c>
      <c r="D33" s="28">
        <v>1860.599976</v>
      </c>
      <c r="E33" s="28">
        <v>11474.450194999999</v>
      </c>
      <c r="F33" s="35">
        <f t="shared" si="0"/>
        <v>-6.7204796022903746E-2</v>
      </c>
      <c r="G33" s="35">
        <f t="shared" si="1"/>
        <v>-3.3929841286107765E-2</v>
      </c>
      <c r="H33" s="35">
        <f t="shared" si="2"/>
        <v>0.43139515648990667</v>
      </c>
    </row>
    <row r="34" spans="3:8" x14ac:dyDescent="0.25">
      <c r="C34" s="42">
        <v>43739</v>
      </c>
      <c r="D34" s="28">
        <v>1994.650024</v>
      </c>
      <c r="E34" s="28">
        <v>11877.450194999999</v>
      </c>
      <c r="F34" s="35">
        <f t="shared" si="0"/>
        <v>9.4458175034293657E-2</v>
      </c>
      <c r="G34" s="35">
        <f t="shared" si="1"/>
        <v>-1.4814106849984188E-2</v>
      </c>
      <c r="H34" s="35">
        <f t="shared" si="2"/>
        <v>0.4312380183325944</v>
      </c>
    </row>
    <row r="35" spans="3:8" x14ac:dyDescent="0.25">
      <c r="C35" s="42">
        <v>43770</v>
      </c>
      <c r="D35" s="28">
        <v>1822.5</v>
      </c>
      <c r="E35" s="28">
        <v>12056.049805000001</v>
      </c>
      <c r="F35" s="35">
        <f t="shared" si="0"/>
        <v>-8.6218490531859704E-3</v>
      </c>
      <c r="G35" s="35">
        <f t="shared" si="1"/>
        <v>-9.2370341496884611E-3</v>
      </c>
      <c r="H35" s="35">
        <f t="shared" si="2"/>
        <v>0.43119217280517042</v>
      </c>
    </row>
    <row r="36" spans="3:8" x14ac:dyDescent="0.25">
      <c r="C36" s="42">
        <v>43800</v>
      </c>
      <c r="D36" s="28">
        <v>1838.349976</v>
      </c>
      <c r="E36" s="28">
        <v>12168.450194999999</v>
      </c>
      <c r="F36" s="35">
        <f t="shared" si="0"/>
        <v>-0.13852244981728723</v>
      </c>
      <c r="G36" s="35">
        <f t="shared" si="1"/>
        <v>1.725036513194933E-2</v>
      </c>
      <c r="H36" s="35">
        <f t="shared" si="2"/>
        <v>0.43097443693271315</v>
      </c>
    </row>
    <row r="37" spans="3:8" x14ac:dyDescent="0.25">
      <c r="C37" s="42">
        <v>43831</v>
      </c>
      <c r="D37" s="28">
        <v>2133.9499510000001</v>
      </c>
      <c r="E37" s="28">
        <v>11962.099609000001</v>
      </c>
      <c r="F37" s="35">
        <f t="shared" si="0"/>
        <v>-8.1757354506813984E-2</v>
      </c>
      <c r="G37" s="35">
        <f t="shared" si="1"/>
        <v>6.7877752047671214E-2</v>
      </c>
      <c r="H37" s="35">
        <f t="shared" si="2"/>
        <v>0.43055826174906769</v>
      </c>
    </row>
    <row r="38" spans="3:8" x14ac:dyDescent="0.25">
      <c r="C38" s="42">
        <v>43862</v>
      </c>
      <c r="D38" s="28">
        <v>2323.9499510000001</v>
      </c>
      <c r="E38" s="28">
        <v>11201.75</v>
      </c>
      <c r="F38" s="35">
        <f t="shared" si="0"/>
        <v>6.2377120457142832E-2</v>
      </c>
      <c r="G38" s="35">
        <f t="shared" si="1"/>
        <v>0.3028699369020964</v>
      </c>
      <c r="H38" s="35">
        <f t="shared" si="2"/>
        <v>0.42862654214738571</v>
      </c>
    </row>
    <row r="39" spans="3:8" x14ac:dyDescent="0.25">
      <c r="C39" s="42">
        <v>43891</v>
      </c>
      <c r="D39" s="28">
        <v>2187.5</v>
      </c>
      <c r="E39" s="28">
        <v>8597.75</v>
      </c>
      <c r="F39" s="35">
        <f t="shared" si="0"/>
        <v>-8.2289727965260573E-2</v>
      </c>
      <c r="G39" s="35">
        <f t="shared" si="1"/>
        <v>-0.12800843223041836</v>
      </c>
      <c r="H39" s="35">
        <f t="shared" si="2"/>
        <v>0.43216851607349593</v>
      </c>
    </row>
    <row r="40" spans="3:8" x14ac:dyDescent="0.25">
      <c r="C40" s="42">
        <v>43922</v>
      </c>
      <c r="D40" s="28">
        <v>2383.6499020000001</v>
      </c>
      <c r="E40" s="28">
        <v>9859.9003909999992</v>
      </c>
      <c r="F40" s="35">
        <f t="shared" si="0"/>
        <v>5.0366756588476003E-2</v>
      </c>
      <c r="G40" s="35">
        <f t="shared" si="1"/>
        <v>2.918495158722223E-2</v>
      </c>
      <c r="H40" s="35">
        <f t="shared" si="2"/>
        <v>0.43087633037394441</v>
      </c>
    </row>
    <row r="41" spans="3:8" x14ac:dyDescent="0.25">
      <c r="C41" s="42">
        <v>43952</v>
      </c>
      <c r="D41" s="28">
        <v>2269.3500979999999</v>
      </c>
      <c r="E41" s="28">
        <v>9580.2998050000006</v>
      </c>
      <c r="F41" s="35">
        <f t="shared" si="0"/>
        <v>-2.0628705962761784E-2</v>
      </c>
      <c r="G41" s="35">
        <f t="shared" si="1"/>
        <v>-7.0063368768967238E-2</v>
      </c>
      <c r="H41" s="35">
        <f t="shared" si="2"/>
        <v>0.43169218697779205</v>
      </c>
    </row>
    <row r="42" spans="3:8" x14ac:dyDescent="0.25">
      <c r="C42" s="42">
        <v>43983</v>
      </c>
      <c r="D42" s="28">
        <v>2317.1499020000001</v>
      </c>
      <c r="E42" s="28">
        <v>10302.099609000001</v>
      </c>
      <c r="F42" s="35">
        <f t="shared" si="0"/>
        <v>0.12294940852674952</v>
      </c>
      <c r="G42" s="35">
        <f t="shared" si="1"/>
        <v>-6.9657656143004787E-2</v>
      </c>
      <c r="H42" s="35">
        <f t="shared" si="2"/>
        <v>0.43168885187525358</v>
      </c>
    </row>
    <row r="43" spans="3:8" x14ac:dyDescent="0.25">
      <c r="C43" s="42">
        <v>44013</v>
      </c>
      <c r="D43" s="28">
        <v>2063.4499510000001</v>
      </c>
      <c r="E43" s="28">
        <v>11073.450194999999</v>
      </c>
      <c r="F43" s="35">
        <f t="shared" si="0"/>
        <v>-8.342034380899499E-2</v>
      </c>
      <c r="G43" s="35">
        <f t="shared" si="1"/>
        <v>-2.7578468057080197E-2</v>
      </c>
      <c r="H43" s="35">
        <f t="shared" si="2"/>
        <v>0.43134294593587608</v>
      </c>
    </row>
    <row r="44" spans="3:8" x14ac:dyDescent="0.25">
      <c r="C44" s="42">
        <v>44044</v>
      </c>
      <c r="D44" s="28">
        <v>2251.25</v>
      </c>
      <c r="E44" s="28">
        <v>11387.5</v>
      </c>
      <c r="F44" s="35">
        <f t="shared" si="0"/>
        <v>2.1832421823106518E-2</v>
      </c>
      <c r="G44" s="35">
        <f t="shared" si="1"/>
        <v>1.2442727298507705E-2</v>
      </c>
      <c r="H44" s="35">
        <f t="shared" si="2"/>
        <v>0.43101395743100718</v>
      </c>
    </row>
    <row r="45" spans="3:8" x14ac:dyDescent="0.25">
      <c r="C45" s="42">
        <v>44075</v>
      </c>
      <c r="D45" s="28">
        <v>2203.1499020000001</v>
      </c>
      <c r="E45" s="28">
        <v>11247.549805000001</v>
      </c>
      <c r="F45" s="35">
        <f t="shared" si="0"/>
        <v>-1.6406983172411405E-2</v>
      </c>
      <c r="G45" s="35">
        <f t="shared" si="1"/>
        <v>-3.3914877751948125E-2</v>
      </c>
      <c r="H45" s="35">
        <f t="shared" si="2"/>
        <v>0.43139503348431707</v>
      </c>
    </row>
    <row r="46" spans="3:8" x14ac:dyDescent="0.25">
      <c r="C46" s="42">
        <v>44105</v>
      </c>
      <c r="D46" s="28">
        <v>2239.8999020000001</v>
      </c>
      <c r="E46" s="28">
        <v>11642.400390999999</v>
      </c>
      <c r="F46" s="35">
        <f t="shared" si="0"/>
        <v>-2.1535929606526505E-2</v>
      </c>
      <c r="G46" s="35">
        <f t="shared" si="1"/>
        <v>-0.10228659868795187</v>
      </c>
      <c r="H46" s="35">
        <f t="shared" si="2"/>
        <v>0.43195707342455864</v>
      </c>
    </row>
    <row r="47" spans="3:8" x14ac:dyDescent="0.25">
      <c r="C47" s="42">
        <v>44136</v>
      </c>
      <c r="D47" s="28">
        <v>2289.1999510000001</v>
      </c>
      <c r="E47" s="28">
        <v>12968.950194999999</v>
      </c>
      <c r="F47" s="35">
        <f t="shared" si="0"/>
        <v>-0.17166020052731956</v>
      </c>
      <c r="G47" s="35">
        <f t="shared" si="1"/>
        <v>-7.243727037030423E-2</v>
      </c>
      <c r="H47" s="35">
        <f t="shared" si="2"/>
        <v>0.43171170129593245</v>
      </c>
    </row>
    <row r="48" spans="3:8" x14ac:dyDescent="0.25">
      <c r="C48" s="42">
        <v>44166</v>
      </c>
      <c r="D48" s="28">
        <v>2763.6000979999999</v>
      </c>
      <c r="E48" s="28">
        <v>13981.75</v>
      </c>
      <c r="F48" s="35">
        <f t="shared" si="0"/>
        <v>4.2277992834244715E-2</v>
      </c>
      <c r="G48" s="35">
        <f t="shared" si="1"/>
        <v>2.5460989024631786E-2</v>
      </c>
      <c r="H48" s="35">
        <f t="shared" si="2"/>
        <v>0.43090694267487067</v>
      </c>
    </row>
    <row r="49" spans="3:8" x14ac:dyDescent="0.25">
      <c r="C49" s="42">
        <v>44197</v>
      </c>
      <c r="D49" s="28">
        <v>2651.5</v>
      </c>
      <c r="E49" s="28">
        <v>13634.599609000001</v>
      </c>
      <c r="F49" s="35">
        <f t="shared" si="0"/>
        <v>-0.1144545977584247</v>
      </c>
      <c r="G49" s="35">
        <f t="shared" si="1"/>
        <v>-6.1569380034370291E-2</v>
      </c>
      <c r="H49" s="35">
        <f t="shared" si="2"/>
        <v>0.4316223633598481</v>
      </c>
    </row>
    <row r="50" spans="3:8" x14ac:dyDescent="0.25">
      <c r="C50" s="42">
        <v>44228</v>
      </c>
      <c r="D50" s="28">
        <v>2994.1999510000001</v>
      </c>
      <c r="E50" s="28">
        <v>14529.150390999999</v>
      </c>
      <c r="F50" s="35">
        <f t="shared" si="0"/>
        <v>4.7270911555840289E-2</v>
      </c>
      <c r="G50" s="35">
        <f t="shared" si="1"/>
        <v>-1.0996739560105051E-2</v>
      </c>
      <c r="H50" s="35">
        <f t="shared" si="2"/>
        <v>0.43120663821148425</v>
      </c>
    </row>
    <row r="51" spans="3:8" x14ac:dyDescent="0.25">
      <c r="C51" s="42">
        <v>44256</v>
      </c>
      <c r="D51" s="28">
        <v>2859.0500489999999</v>
      </c>
      <c r="E51" s="28">
        <v>14690.700194999999</v>
      </c>
      <c r="F51" s="35">
        <f t="shared" si="0"/>
        <v>2.1557528168754114E-3</v>
      </c>
      <c r="G51" s="35">
        <f t="shared" si="1"/>
        <v>4.0735547971622044E-3</v>
      </c>
      <c r="H51" s="35">
        <f t="shared" si="2"/>
        <v>0.43108275501498095</v>
      </c>
    </row>
    <row r="52" spans="3:8" x14ac:dyDescent="0.25">
      <c r="C52" s="42">
        <v>44287</v>
      </c>
      <c r="D52" s="28">
        <v>2852.8999020000001</v>
      </c>
      <c r="E52" s="28">
        <v>14631.099609000001</v>
      </c>
      <c r="F52" s="35">
        <f t="shared" si="0"/>
        <v>-7.0534960224286847E-2</v>
      </c>
      <c r="G52" s="35">
        <f t="shared" si="1"/>
        <v>-6.1073761320775688E-2</v>
      </c>
      <c r="H52" s="35">
        <f t="shared" si="2"/>
        <v>0.43161828919719197</v>
      </c>
    </row>
    <row r="53" spans="3:8" x14ac:dyDescent="0.25">
      <c r="C53" s="42">
        <v>44317</v>
      </c>
      <c r="D53" s="28">
        <v>3069.3999020000001</v>
      </c>
      <c r="E53" s="28">
        <v>15582.799805000001</v>
      </c>
      <c r="F53" s="35">
        <f t="shared" si="0"/>
        <v>-8.2144728910563791E-2</v>
      </c>
      <c r="G53" s="35">
        <f t="shared" si="1"/>
        <v>-8.8223257958846002E-3</v>
      </c>
      <c r="H53" s="35">
        <f t="shared" si="2"/>
        <v>0.43118876375453957</v>
      </c>
    </row>
    <row r="54" spans="3:8" x14ac:dyDescent="0.25">
      <c r="C54" s="42">
        <v>44348</v>
      </c>
      <c r="D54" s="28">
        <v>3344.1000979999999</v>
      </c>
      <c r="E54" s="28">
        <v>15721.5</v>
      </c>
      <c r="F54" s="35">
        <f t="shared" si="0"/>
        <v>-4.4761182817270928E-2</v>
      </c>
      <c r="G54" s="35">
        <f t="shared" si="1"/>
        <v>-2.6358988592943833E-3</v>
      </c>
      <c r="H54" s="35">
        <f t="shared" si="2"/>
        <v>0.43113790911788352</v>
      </c>
    </row>
    <row r="55" spans="3:8" x14ac:dyDescent="0.25">
      <c r="C55" s="42">
        <v>44378</v>
      </c>
      <c r="D55" s="28">
        <v>3500.8000489999999</v>
      </c>
      <c r="E55" s="28">
        <v>15763.049805000001</v>
      </c>
      <c r="F55" s="35">
        <f t="shared" si="0"/>
        <v>-0.1147972070332095</v>
      </c>
      <c r="G55" s="35">
        <f t="shared" si="1"/>
        <v>-7.9916734360733988E-2</v>
      </c>
      <c r="H55" s="35">
        <f t="shared" si="2"/>
        <v>0.43177318515851004</v>
      </c>
    </row>
    <row r="56" spans="3:8" x14ac:dyDescent="0.25">
      <c r="C56" s="42">
        <v>44409</v>
      </c>
      <c r="D56" s="28">
        <v>3954.8000489999999</v>
      </c>
      <c r="E56" s="28">
        <v>17132.199218999998</v>
      </c>
      <c r="F56" s="35">
        <f t="shared" si="0"/>
        <v>-6.9502642804335046E-2</v>
      </c>
      <c r="G56" s="35">
        <f t="shared" si="1"/>
        <v>-2.7582417065087794E-2</v>
      </c>
      <c r="H56" s="35">
        <f t="shared" si="2"/>
        <v>0.43134297839813085</v>
      </c>
    </row>
    <row r="57" spans="3:8" x14ac:dyDescent="0.25">
      <c r="C57" s="42">
        <v>44440</v>
      </c>
      <c r="D57" s="28">
        <v>4250.2001950000003</v>
      </c>
      <c r="E57" s="28">
        <v>17618.150390999999</v>
      </c>
      <c r="F57" s="35">
        <f t="shared" si="0"/>
        <v>-8.310951122191923E-2</v>
      </c>
      <c r="G57" s="35">
        <f t="shared" si="1"/>
        <v>-3.0274478510081693E-3</v>
      </c>
      <c r="H57" s="35">
        <f t="shared" si="2"/>
        <v>0.43114112779029501</v>
      </c>
    </row>
    <row r="58" spans="3:8" x14ac:dyDescent="0.25">
      <c r="C58" s="42">
        <v>44470</v>
      </c>
      <c r="D58" s="28">
        <v>4635.4501950000003</v>
      </c>
      <c r="E58" s="28">
        <v>17671.650390999999</v>
      </c>
      <c r="F58" s="35">
        <f t="shared" si="0"/>
        <v>-1.6015986025932683E-2</v>
      </c>
      <c r="G58" s="35">
        <f t="shared" si="1"/>
        <v>4.0537189908824489E-2</v>
      </c>
      <c r="H58" s="35">
        <f t="shared" si="2"/>
        <v>0.43078301092460869</v>
      </c>
    </row>
    <row r="59" spans="3:8" x14ac:dyDescent="0.25">
      <c r="C59" s="42">
        <v>44501</v>
      </c>
      <c r="D59" s="28">
        <v>4710.8999020000001</v>
      </c>
      <c r="E59" s="28">
        <v>16983.199218999998</v>
      </c>
      <c r="F59" s="35">
        <f t="shared" si="0"/>
        <v>8.4448523163587197E-3</v>
      </c>
      <c r="G59" s="35">
        <f t="shared" si="1"/>
        <v>-2.1369740510730151E-2</v>
      </c>
      <c r="H59" s="35">
        <f t="shared" si="2"/>
        <v>0.43129190798025124</v>
      </c>
    </row>
    <row r="60" spans="3:8" x14ac:dyDescent="0.25">
      <c r="C60" s="42">
        <v>44531</v>
      </c>
      <c r="D60" s="28">
        <v>4671.4501950000003</v>
      </c>
      <c r="E60" s="28">
        <v>17354.050781000002</v>
      </c>
      <c r="F60" s="35">
        <f t="shared" si="0"/>
        <v>0.13540415466122058</v>
      </c>
      <c r="G60" s="35">
        <f t="shared" si="1"/>
        <v>8.1899049416378489E-4</v>
      </c>
      <c r="H60" s="35">
        <f t="shared" si="2"/>
        <v>0.43110950869473813</v>
      </c>
    </row>
    <row r="61" spans="3:8" x14ac:dyDescent="0.25">
      <c r="C61" s="42">
        <v>44562</v>
      </c>
      <c r="D61" s="28">
        <v>4114.3500979999999</v>
      </c>
      <c r="E61" s="28">
        <v>17339.849609000001</v>
      </c>
      <c r="F61" s="35">
        <f t="shared" si="0"/>
        <v>-5.2069532387292727E-2</v>
      </c>
      <c r="G61" s="35">
        <f t="shared" si="1"/>
        <v>3.2508780288620809E-2</v>
      </c>
      <c r="H61" s="35">
        <f t="shared" si="2"/>
        <v>0.43084900731611975</v>
      </c>
    </row>
    <row r="62" spans="3:8" x14ac:dyDescent="0.25">
      <c r="C62" s="42">
        <v>44593</v>
      </c>
      <c r="D62" s="28">
        <v>4340.3500979999999</v>
      </c>
      <c r="E62" s="28">
        <v>16793.900390999999</v>
      </c>
      <c r="F62" s="35">
        <f t="shared" si="0"/>
        <v>8.4179497608355414E-2</v>
      </c>
      <c r="G62" s="35">
        <f t="shared" si="1"/>
        <v>-3.8411635379836606E-2</v>
      </c>
      <c r="H62" s="35">
        <f t="shared" si="2"/>
        <v>0.4314319984364034</v>
      </c>
    </row>
    <row r="63" spans="3:8" x14ac:dyDescent="0.25">
      <c r="C63" s="42">
        <v>44621</v>
      </c>
      <c r="D63" s="28">
        <v>4003.3500979999999</v>
      </c>
      <c r="E63" s="28">
        <v>17464.75</v>
      </c>
      <c r="F63" s="35">
        <f t="shared" si="0"/>
        <v>1.4983862077708077E-2</v>
      </c>
      <c r="G63" s="35">
        <f t="shared" si="1"/>
        <v>2.1178081774935187E-2</v>
      </c>
      <c r="H63" s="35">
        <f t="shared" si="2"/>
        <v>0.43094214970054923</v>
      </c>
    </row>
    <row r="64" spans="3:8" x14ac:dyDescent="0.25">
      <c r="C64" s="42">
        <v>44652</v>
      </c>
      <c r="D64" s="28">
        <v>3944.25</v>
      </c>
      <c r="E64" s="28">
        <v>17102.550781000002</v>
      </c>
      <c r="F64" s="35">
        <f t="shared" si="0"/>
        <v>-7.1863795428582788E-3</v>
      </c>
      <c r="G64" s="35">
        <f t="shared" si="1"/>
        <v>3.1233887902073487E-2</v>
      </c>
      <c r="H64" s="35">
        <f t="shared" si="2"/>
        <v>0.43085948738640228</v>
      </c>
    </row>
    <row r="65" spans="3:8" x14ac:dyDescent="0.25">
      <c r="C65" s="42">
        <v>44682</v>
      </c>
      <c r="D65" s="28">
        <v>3972.8000489999999</v>
      </c>
      <c r="E65" s="28">
        <v>16584.550781000002</v>
      </c>
      <c r="F65" s="35">
        <f t="shared" si="0"/>
        <v>0.16637794976511588</v>
      </c>
      <c r="G65" s="35">
        <f t="shared" si="1"/>
        <v>5.0968823751208037E-2</v>
      </c>
      <c r="H65" s="35">
        <f t="shared" si="2"/>
        <v>0.43069725917255203</v>
      </c>
    </row>
    <row r="66" spans="3:8" x14ac:dyDescent="0.25">
      <c r="C66" s="42">
        <v>44713</v>
      </c>
      <c r="D66" s="28">
        <v>3406.1000979999999</v>
      </c>
      <c r="E66" s="28">
        <v>15780.25</v>
      </c>
      <c r="F66" s="35">
        <f t="shared" si="0"/>
        <v>-0.19740329668920364</v>
      </c>
      <c r="G66" s="35">
        <f t="shared" si="1"/>
        <v>-8.0311220549881268E-2</v>
      </c>
      <c r="H66" s="35">
        <f t="shared" si="2"/>
        <v>0.4317764279757324</v>
      </c>
    </row>
    <row r="67" spans="3:8" x14ac:dyDescent="0.25">
      <c r="C67" s="42">
        <v>44743</v>
      </c>
      <c r="D67" s="28">
        <v>4243.8500979999999</v>
      </c>
      <c r="E67" s="28">
        <v>17158.25</v>
      </c>
      <c r="F67" s="35">
        <f t="shared" si="0"/>
        <v>-6.3446874282985455E-2</v>
      </c>
      <c r="G67" s="35">
        <f t="shared" si="1"/>
        <v>-3.3844281844870983E-2</v>
      </c>
      <c r="H67" s="35">
        <f t="shared" si="2"/>
        <v>0.43139445316077318</v>
      </c>
    </row>
    <row r="68" spans="3:8" x14ac:dyDescent="0.25">
      <c r="C68" s="42">
        <v>44774</v>
      </c>
      <c r="D68" s="28">
        <v>4531.3500979999999</v>
      </c>
      <c r="E68" s="28">
        <v>17759.300781000002</v>
      </c>
      <c r="F68" s="35">
        <f t="shared" si="0"/>
        <v>3.3010064728992594E-2</v>
      </c>
      <c r="G68" s="35">
        <f t="shared" si="1"/>
        <v>3.8898886895931462E-2</v>
      </c>
      <c r="H68" s="35">
        <f t="shared" si="2"/>
        <v>0.43079647835990009</v>
      </c>
    </row>
    <row r="69" spans="3:8" x14ac:dyDescent="0.25">
      <c r="C69" s="42">
        <v>44805</v>
      </c>
      <c r="D69" s="28">
        <v>4386.5498049999997</v>
      </c>
      <c r="E69" s="28">
        <v>17094.349609000001</v>
      </c>
      <c r="F69" s="35">
        <f t="shared" si="0"/>
        <v>1.5193571822761376E-2</v>
      </c>
      <c r="G69" s="35">
        <f t="shared" si="1"/>
        <v>-5.0957109614455764E-2</v>
      </c>
      <c r="H69" s="35">
        <f t="shared" si="2"/>
        <v>0.43153512671067529</v>
      </c>
    </row>
    <row r="70" spans="3:8" x14ac:dyDescent="0.25">
      <c r="C70" s="42">
        <v>44835</v>
      </c>
      <c r="D70" s="28">
        <v>4320.8999020000001</v>
      </c>
      <c r="E70" s="28">
        <v>18012.199218999998</v>
      </c>
      <c r="F70" s="35">
        <f t="shared" si="0"/>
        <v>7.3382164203204647E-2</v>
      </c>
      <c r="G70" s="35">
        <f t="shared" si="1"/>
        <v>-3.9776974283601718E-2</v>
      </c>
      <c r="H70" s="35">
        <f t="shared" si="2"/>
        <v>0.43144322200932766</v>
      </c>
    </row>
    <row r="71" spans="3:8" x14ac:dyDescent="0.25">
      <c r="C71" s="42">
        <v>44866</v>
      </c>
      <c r="D71" s="28">
        <v>4025.5</v>
      </c>
      <c r="E71" s="28">
        <v>18758.349609000001</v>
      </c>
      <c r="F71" s="35">
        <f t="shared" si="0"/>
        <v>-1.0629800307219717E-2</v>
      </c>
      <c r="G71" s="35">
        <f t="shared" si="1"/>
        <v>3.6069482407346642E-2</v>
      </c>
      <c r="H71" s="35">
        <f t="shared" si="2"/>
        <v>0.43081973707429122</v>
      </c>
    </row>
    <row r="72" spans="3:8" x14ac:dyDescent="0.25">
      <c r="C72" s="42">
        <v>44896</v>
      </c>
      <c r="D72" s="28">
        <v>4068.75</v>
      </c>
      <c r="E72" s="28">
        <v>18105.300781000002</v>
      </c>
      <c r="F72" s="35">
        <f t="shared" si="0"/>
        <v>0.16173655685546895</v>
      </c>
      <c r="G72" s="35">
        <f t="shared" si="1"/>
        <v>2.5090398405044567E-2</v>
      </c>
      <c r="H72" s="35">
        <f t="shared" si="2"/>
        <v>0.43090998906198563</v>
      </c>
    </row>
    <row r="73" spans="3:8" x14ac:dyDescent="0.25">
      <c r="C73" s="42">
        <v>44927</v>
      </c>
      <c r="D73" s="28">
        <v>3502.3000489999999</v>
      </c>
      <c r="E73" s="28">
        <v>17662.150390999999</v>
      </c>
      <c r="F73" s="35">
        <f t="shared" si="0"/>
        <v>2.4978445462749965E-2</v>
      </c>
      <c r="G73" s="35">
        <f t="shared" si="1"/>
        <v>2.0700544567403778E-2</v>
      </c>
      <c r="H73" s="35">
        <f t="shared" si="2"/>
        <v>0.43094607522677425</v>
      </c>
    </row>
    <row r="74" spans="3:8" x14ac:dyDescent="0.25">
      <c r="C74" s="42">
        <v>44958</v>
      </c>
      <c r="D74" s="28">
        <v>3416.9499510000001</v>
      </c>
      <c r="E74" s="28">
        <v>17303.949218999998</v>
      </c>
      <c r="F74" s="35">
        <f t="shared" si="0"/>
        <v>4.6749979479645543E-3</v>
      </c>
      <c r="G74" s="35">
        <f t="shared" si="1"/>
        <v>-3.2143769927562849E-3</v>
      </c>
      <c r="H74" s="35">
        <f t="shared" si="2"/>
        <v>0.43114266441453408</v>
      </c>
    </row>
    <row r="75" spans="3:8" x14ac:dyDescent="0.25">
      <c r="C75" s="42">
        <v>44986</v>
      </c>
      <c r="D75" s="28">
        <v>3401.0500489999999</v>
      </c>
      <c r="E75" s="28">
        <v>17359.75</v>
      </c>
      <c r="F75" s="35">
        <f t="shared" si="0"/>
        <v>-3.1577870854458623E-2</v>
      </c>
      <c r="G75" s="35">
        <f t="shared" si="1"/>
        <v>-3.9039579296983096E-2</v>
      </c>
      <c r="H75" s="35">
        <f t="shared" si="2"/>
        <v>0.43143716035944463</v>
      </c>
    </row>
    <row r="76" spans="3:8" x14ac:dyDescent="0.25">
      <c r="C76" s="42">
        <v>45017</v>
      </c>
      <c r="D76" s="28">
        <v>3511.9499510000001</v>
      </c>
      <c r="E76" s="28">
        <v>18065</v>
      </c>
      <c r="F76" s="35">
        <f t="shared" si="0"/>
        <v>1.1724868851278325E-2</v>
      </c>
      <c r="G76" s="35">
        <f t="shared" si="1"/>
        <v>-2.5325901086497127E-2</v>
      </c>
      <c r="H76" s="35">
        <f t="shared" si="2"/>
        <v>0.43132442903169105</v>
      </c>
    </row>
    <row r="77" spans="3:8" x14ac:dyDescent="0.25">
      <c r="C77" s="42">
        <v>45047</v>
      </c>
      <c r="D77" s="28">
        <v>3471.25</v>
      </c>
      <c r="E77" s="28">
        <v>18534.400390999999</v>
      </c>
      <c r="F77" s="35">
        <f t="shared" si="0"/>
        <v>-0.10746424875700611</v>
      </c>
      <c r="G77" s="35">
        <f t="shared" si="1"/>
        <v>-3.4115829775603235E-2</v>
      </c>
      <c r="H77" s="35">
        <f t="shared" si="2"/>
        <v>0.4313966853816486</v>
      </c>
    </row>
    <row r="78" spans="3:8" x14ac:dyDescent="0.25">
      <c r="C78" s="42">
        <v>45078</v>
      </c>
      <c r="D78" s="28">
        <v>3889.1999510000001</v>
      </c>
      <c r="E78" s="28">
        <v>19189.050781000002</v>
      </c>
      <c r="F78" s="35">
        <f t="shared" si="0"/>
        <v>3.6346168252781252E-2</v>
      </c>
      <c r="G78" s="35">
        <f t="shared" si="1"/>
        <v>-2.858943482629428E-2</v>
      </c>
      <c r="H78" s="35">
        <f t="shared" si="2"/>
        <v>0.43135125644341893</v>
      </c>
    </row>
    <row r="79" spans="3:8" x14ac:dyDescent="0.25">
      <c r="C79" s="42">
        <v>45108</v>
      </c>
      <c r="D79" s="28">
        <v>3752.8000489999999</v>
      </c>
      <c r="E79" s="28">
        <v>19753.800781000002</v>
      </c>
      <c r="F79" s="35">
        <f t="shared" si="0"/>
        <v>8.7087807368724235E-3</v>
      </c>
      <c r="G79" s="35">
        <f t="shared" si="1"/>
        <v>2.5968898592396927E-2</v>
      </c>
      <c r="H79" s="35">
        <f t="shared" si="2"/>
        <v>0.43090276747700806</v>
      </c>
    </row>
    <row r="80" spans="3:8" x14ac:dyDescent="0.25">
      <c r="C80" s="42">
        <v>45139</v>
      </c>
      <c r="D80" s="28">
        <v>3720.3999020000001</v>
      </c>
      <c r="E80" s="28">
        <v>19253.800781000002</v>
      </c>
      <c r="F80" s="35">
        <f t="shared" si="0"/>
        <v>1.2188432583940978E-2</v>
      </c>
      <c r="G80" s="35">
        <f t="shared" si="1"/>
        <v>-1.9579087024270581E-2</v>
      </c>
      <c r="H80" s="35">
        <f t="shared" si="2"/>
        <v>0.4312771881697105</v>
      </c>
    </row>
    <row r="81" spans="3:8" x14ac:dyDescent="0.25">
      <c r="C81" s="42">
        <v>45170</v>
      </c>
      <c r="D81" s="28">
        <v>3675.6000979999999</v>
      </c>
      <c r="E81" s="28">
        <v>19638.300781000002</v>
      </c>
      <c r="F81" s="35">
        <f t="shared" si="0"/>
        <v>1.1614520046849375E-2</v>
      </c>
      <c r="G81" s="35">
        <f t="shared" si="1"/>
        <v>2.9282646567512671E-2</v>
      </c>
      <c r="H81" s="35">
        <f t="shared" si="2"/>
        <v>0.43087552728635009</v>
      </c>
    </row>
    <row r="82" spans="3:8" x14ac:dyDescent="0.25">
      <c r="C82" s="42">
        <v>45200</v>
      </c>
      <c r="D82" s="28">
        <v>3633.3999020000001</v>
      </c>
      <c r="E82" s="28">
        <v>19079.599609000001</v>
      </c>
      <c r="F82" s="35">
        <f t="shared" si="0"/>
        <v>-8.0093701626685165E-2</v>
      </c>
      <c r="G82" s="35">
        <f t="shared" si="1"/>
        <v>-5.2329156716127256E-2</v>
      </c>
      <c r="H82" s="35">
        <f t="shared" si="2"/>
        <v>0.43154640542737971</v>
      </c>
    </row>
    <row r="83" spans="3:8" x14ac:dyDescent="0.25">
      <c r="C83" s="42">
        <v>45231</v>
      </c>
      <c r="D83" s="28">
        <v>3949.75</v>
      </c>
      <c r="E83" s="28">
        <v>20133.150390999999</v>
      </c>
      <c r="F83" s="35">
        <f t="shared" si="0"/>
        <v>-3.2552363095080805E-2</v>
      </c>
      <c r="G83" s="35">
        <f t="shared" si="1"/>
        <v>-7.3545651510885213E-2</v>
      </c>
      <c r="H83" s="35">
        <f t="shared" si="2"/>
        <v>0.43172081258436412</v>
      </c>
    </row>
    <row r="84" spans="3:8" x14ac:dyDescent="0.25">
      <c r="C84" s="42">
        <v>45261</v>
      </c>
      <c r="D84" s="28">
        <v>4082.6499020000001</v>
      </c>
      <c r="E84" s="28">
        <v>21731.400390999999</v>
      </c>
      <c r="F84" s="35">
        <f t="shared" si="0"/>
        <v>7.6449483150796249E-2</v>
      </c>
      <c r="G84" s="35">
        <f t="shared" si="1"/>
        <v>2.6241604205834435E-4</v>
      </c>
      <c r="H84" s="35">
        <f t="shared" si="2"/>
        <v>0.43111408393531303</v>
      </c>
    </row>
    <row r="85" spans="3:8" x14ac:dyDescent="0.25">
      <c r="C85" s="42">
        <v>45292</v>
      </c>
      <c r="D85" s="28">
        <v>3792.6999510000001</v>
      </c>
      <c r="E85" s="28">
        <v>21725.699218999998</v>
      </c>
      <c r="F85" s="35">
        <f t="shared" si="0"/>
        <v>2.6913573411646796E-2</v>
      </c>
      <c r="G85" s="35">
        <f t="shared" si="1"/>
        <v>-1.4291742601725499E-2</v>
      </c>
      <c r="H85" s="35">
        <f t="shared" si="2"/>
        <v>0.43123372431210089</v>
      </c>
    </row>
    <row r="86" spans="3:8" x14ac:dyDescent="0.25">
      <c r="C86" s="42">
        <v>45323</v>
      </c>
      <c r="D86" s="28">
        <v>3693.3000489999999</v>
      </c>
      <c r="E86" s="28">
        <v>22040.699218999998</v>
      </c>
      <c r="F86" s="35">
        <f t="shared" si="0"/>
        <v>0</v>
      </c>
      <c r="G86" s="35">
        <f t="shared" si="1"/>
        <v>0</v>
      </c>
      <c r="H86" s="35">
        <f t="shared" si="2"/>
        <v>0.43111624108880542</v>
      </c>
    </row>
    <row r="87" spans="3:8" x14ac:dyDescent="0.25">
      <c r="C87" s="42">
        <v>45338</v>
      </c>
      <c r="D87" s="28">
        <v>3693.3000489999999</v>
      </c>
      <c r="E87" s="28">
        <v>22040.699218999998</v>
      </c>
      <c r="F87" s="43" t="s">
        <v>189</v>
      </c>
      <c r="G87" s="43" t="s">
        <v>189</v>
      </c>
      <c r="H87" s="35" t="e">
        <f t="shared" si="2"/>
        <v>#VALUE!</v>
      </c>
    </row>
  </sheetData>
  <hyperlinks>
    <hyperlink ref="D20" r:id="rId1"/>
    <hyperlink ref="D2" location="DASHBOARD!A1" display="DASHBOARD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I33"/>
  <sheetViews>
    <sheetView showGridLines="0" zoomScale="85" zoomScaleNormal="85" workbookViewId="0">
      <selection activeCell="I2" sqref="I2"/>
    </sheetView>
  </sheetViews>
  <sheetFormatPr defaultRowHeight="15" x14ac:dyDescent="0.25"/>
  <cols>
    <col min="1" max="1" width="12.28515625" bestFit="1" customWidth="1"/>
    <col min="2" max="2" width="27.140625" bestFit="1" customWidth="1"/>
  </cols>
  <sheetData>
    <row r="2" spans="2:9" x14ac:dyDescent="0.25">
      <c r="B2" s="26" t="s">
        <v>149</v>
      </c>
      <c r="C2" s="26" t="s">
        <v>1</v>
      </c>
      <c r="D2" s="26" t="s">
        <v>2</v>
      </c>
      <c r="E2" s="26" t="s">
        <v>3</v>
      </c>
      <c r="F2" s="26" t="s">
        <v>4</v>
      </c>
      <c r="G2" s="26" t="s">
        <v>5</v>
      </c>
      <c r="I2" s="185" t="s">
        <v>432</v>
      </c>
    </row>
    <row r="3" spans="2:9" x14ac:dyDescent="0.25">
      <c r="B3" t="s">
        <v>150</v>
      </c>
      <c r="C3" s="35">
        <f>IS!C9/IS!C3</f>
        <v>0.15219916151653101</v>
      </c>
      <c r="D3" s="35">
        <f>IS!D9/IS!D3</f>
        <v>0.15351908669769471</v>
      </c>
      <c r="E3" s="35">
        <f>IS!E9/IS!E3</f>
        <v>0.15549315981950157</v>
      </c>
      <c r="F3" s="35">
        <f>IS!F9/IS!F3</f>
        <v>0.151038986600527</v>
      </c>
      <c r="G3" s="35">
        <f>IS!G9/IS!G3</f>
        <v>0.15324921047548337</v>
      </c>
    </row>
    <row r="4" spans="2:9" x14ac:dyDescent="0.25">
      <c r="B4" t="s">
        <v>151</v>
      </c>
      <c r="C4" s="35">
        <f>IS!C15/IS!C3</f>
        <v>7.3263827073132115E-2</v>
      </c>
      <c r="D4" s="35">
        <f>IS!D15/IS!D3</f>
        <v>7.2758771593798593E-2</v>
      </c>
      <c r="E4" s="35">
        <f>IS!E15/IS!E3</f>
        <v>6.266005512901579E-2</v>
      </c>
      <c r="F4" s="35">
        <f>IS!F15/IS!F3</f>
        <v>6.8113666536308334E-2</v>
      </c>
      <c r="G4" s="35">
        <f>IS!G15/IS!G3</f>
        <v>7.2785200458936522E-2</v>
      </c>
    </row>
    <row r="5" spans="2:9" x14ac:dyDescent="0.25">
      <c r="B5" s="36" t="s">
        <v>152</v>
      </c>
      <c r="C5" s="37">
        <f>IS!C19/IS!C3</f>
        <v>4.5004031841826067E-2</v>
      </c>
      <c r="D5" s="37">
        <f>IS!D19/IS!D3</f>
        <v>5.2184921173886026E-2</v>
      </c>
      <c r="E5" s="37">
        <f>IS!E19/IS!E3</f>
        <v>4.5171034299714002E-2</v>
      </c>
      <c r="F5" s="37">
        <f>IS!F19/IS!F3</f>
        <v>4.799676848345142E-2</v>
      </c>
      <c r="G5" s="37">
        <f>IS!G19/IS!G3</f>
        <v>5.5350264959074996E-2</v>
      </c>
    </row>
    <row r="6" spans="2:9" x14ac:dyDescent="0.25">
      <c r="B6" t="s">
        <v>153</v>
      </c>
      <c r="C6" s="35">
        <f>IS!C15*(1-IS!C18/IS!C17)/AVERAGE(BS!B3:C3)</f>
        <v>0.13309448313544656</v>
      </c>
      <c r="D6" s="35">
        <f>IS!D15*(1-IS!D18/IS!D17)/AVERAGE(BS!C3:D3)</f>
        <v>0.14175735998157277</v>
      </c>
      <c r="E6" s="35">
        <f>IS!E15*(1-IS!E18/IS!E17)/AVERAGE(BS!D3:E3)</f>
        <v>8.7850119358818549E-2</v>
      </c>
      <c r="F6" s="35">
        <f>IS!F15*(1-IS!F18/IS!F17)/AVERAGE(BS!E3:F3)</f>
        <v>0.10514001489910284</v>
      </c>
      <c r="G6" s="35">
        <f>IS!G15*(1-IS!G18/IS!G17)/AVERAGE(BS!F3:G3)</f>
        <v>0.14477720941307651</v>
      </c>
    </row>
    <row r="7" spans="2:9" x14ac:dyDescent="0.25">
      <c r="B7" t="s">
        <v>154</v>
      </c>
      <c r="C7" s="35">
        <f>IS!C19/BS!C34</f>
        <v>0.16151553928894194</v>
      </c>
      <c r="D7" s="35">
        <f>IS!D19/BS!D34</f>
        <v>0.11741972284548211</v>
      </c>
      <c r="E7" s="35">
        <f>IS!E19/BS!E34</f>
        <v>9.0237702637374004E-2</v>
      </c>
      <c r="F7" s="35">
        <f>IS!F19/BS!F34</f>
        <v>0.10911239073407418</v>
      </c>
      <c r="G7" s="35">
        <f>IS!G19/BS!G34</f>
        <v>0.14791867501725869</v>
      </c>
    </row>
    <row r="9" spans="2:9" x14ac:dyDescent="0.25">
      <c r="B9" s="26" t="s">
        <v>155</v>
      </c>
      <c r="C9" s="26" t="s">
        <v>1</v>
      </c>
      <c r="D9" s="26" t="s">
        <v>2</v>
      </c>
      <c r="E9" s="26" t="s">
        <v>3</v>
      </c>
      <c r="F9" s="26" t="s">
        <v>4</v>
      </c>
      <c r="G9" s="26" t="s">
        <v>5</v>
      </c>
    </row>
    <row r="10" spans="2:9" x14ac:dyDescent="0.25">
      <c r="B10" t="s">
        <v>156</v>
      </c>
      <c r="C10" s="30">
        <f>BS!C4/BS!C23</f>
        <v>1.6974048837740026</v>
      </c>
      <c r="D10" s="30">
        <f>BS!D4/BS!D23</f>
        <v>3.2345963075227377</v>
      </c>
      <c r="E10" s="30">
        <f>BS!E4/BS!E23</f>
        <v>3.6726715320545891</v>
      </c>
      <c r="F10" s="30">
        <f>BS!F4/BS!F23</f>
        <v>2.8259691863185323</v>
      </c>
      <c r="G10" s="30">
        <f>BS!G4/BS!G23</f>
        <v>3.7139419635857998</v>
      </c>
    </row>
    <row r="11" spans="2:9" x14ac:dyDescent="0.25">
      <c r="B11" t="s">
        <v>157</v>
      </c>
      <c r="C11" s="30">
        <f>(BS!C4-BS!C5)/BS!C23</f>
        <v>0.38627620382746991</v>
      </c>
      <c r="D11" s="30">
        <f>(BS!D4-BS!D5)/BS!D23</f>
        <v>0.55148801322678798</v>
      </c>
      <c r="E11" s="30">
        <f>(BS!E4-BS!E5)/BS!E23</f>
        <v>1.6394458160376957</v>
      </c>
      <c r="F11" s="30">
        <f>(BS!F4-BS!F5)/BS!F23</f>
        <v>0.57473179620616199</v>
      </c>
      <c r="G11" s="30">
        <f>(BS!G4-BS!G5)/BS!G23</f>
        <v>1.5029958895985736</v>
      </c>
    </row>
    <row r="12" spans="2:9" x14ac:dyDescent="0.25">
      <c r="B12" t="s">
        <v>158</v>
      </c>
      <c r="C12" s="30">
        <f>BS!C6/BS!C23</f>
        <v>0.1018648322629017</v>
      </c>
      <c r="D12" s="30">
        <f>BS!D6/BS!D23</f>
        <v>0.14586662992560287</v>
      </c>
      <c r="E12" s="30">
        <f>BS!E6/BS!E23</f>
        <v>0.17318248822088014</v>
      </c>
      <c r="F12" s="30">
        <f>BS!F6/BS!F23</f>
        <v>7.8076648417048075E-2</v>
      </c>
      <c r="G12" s="30">
        <f>BS!G6/BS!G23</f>
        <v>0.1412055814207146</v>
      </c>
    </row>
    <row r="14" spans="2:9" x14ac:dyDescent="0.25">
      <c r="B14" s="26" t="s">
        <v>159</v>
      </c>
      <c r="C14" s="26" t="s">
        <v>1</v>
      </c>
      <c r="D14" s="26" t="s">
        <v>2</v>
      </c>
      <c r="E14" s="26" t="s">
        <v>3</v>
      </c>
      <c r="F14" s="26" t="s">
        <v>4</v>
      </c>
      <c r="G14" s="26" t="s">
        <v>5</v>
      </c>
    </row>
    <row r="15" spans="2:9" x14ac:dyDescent="0.25">
      <c r="B15" t="s">
        <v>160</v>
      </c>
      <c r="C15" s="30">
        <f>(BS!C24+BS!C25+BS!C29+BS!C30)/BS!C34</f>
        <v>7.6925968017610896E-2</v>
      </c>
      <c r="D15" s="30">
        <f>(BS!D24+BS!D25+BS!D29+BS!D30)/BS!D34</f>
        <v>2.7003341233639056E-2</v>
      </c>
      <c r="E15" s="30">
        <f>(BS!E24+BS!E25+BS!E29+BS!E30)/BS!E34</f>
        <v>3.2232382418819878E-2</v>
      </c>
      <c r="F15" s="30">
        <f>(BS!F24+BS!F25+BS!F29+BS!F30)/BS!F34</f>
        <v>4.7299095457988355E-2</v>
      </c>
      <c r="G15" s="30">
        <f>(BS!G24+BS!G25+BS!G29+BS!G30)/BS!G34</f>
        <v>3.9989551394080364E-2</v>
      </c>
    </row>
    <row r="16" spans="2:9" x14ac:dyDescent="0.25">
      <c r="B16" t="s">
        <v>161</v>
      </c>
      <c r="C16" s="30">
        <f>BS!C3/BS!C34</f>
        <v>1.2538313541955635</v>
      </c>
      <c r="D16" s="30">
        <f>BS!D3/BS!D34</f>
        <v>1.0899578870984341</v>
      </c>
      <c r="E16" s="30">
        <f>BS!E3/BS!E34</f>
        <v>1.1208383981562269</v>
      </c>
      <c r="F16" s="30">
        <f>BS!F3/BS!F34</f>
        <v>1.1312360904366547</v>
      </c>
      <c r="G16" s="30">
        <f>BS!G3/BS!G34</f>
        <v>1.1261041004558832</v>
      </c>
    </row>
    <row r="17" spans="2:7" x14ac:dyDescent="0.25">
      <c r="B17" t="s">
        <v>162</v>
      </c>
      <c r="C17" s="30">
        <f>IS!C15/IS!C16</f>
        <v>31.119466214784975</v>
      </c>
      <c r="D17" s="30">
        <f>IS!D15/IS!D16</f>
        <v>26.242621527777803</v>
      </c>
      <c r="E17" s="30">
        <f>IS!E15/IS!E16</f>
        <v>36.617046818727495</v>
      </c>
      <c r="F17" s="30">
        <f>IS!F15/IS!F16</f>
        <v>39.373675404350301</v>
      </c>
      <c r="G17" s="30">
        <f>IS!G15/IS!G16</f>
        <v>46.395193591455232</v>
      </c>
    </row>
    <row r="19" spans="2:7" x14ac:dyDescent="0.25">
      <c r="B19" s="26" t="s">
        <v>136</v>
      </c>
      <c r="C19" s="26" t="s">
        <v>1</v>
      </c>
      <c r="D19" s="26" t="s">
        <v>2</v>
      </c>
      <c r="E19" s="26" t="s">
        <v>3</v>
      </c>
      <c r="F19" s="26" t="s">
        <v>4</v>
      </c>
      <c r="G19" s="26" t="s">
        <v>5</v>
      </c>
    </row>
    <row r="20" spans="2:7" x14ac:dyDescent="0.25">
      <c r="B20" s="33" t="s">
        <v>144</v>
      </c>
      <c r="C20" s="34">
        <f>IS!C3/BS!C3</f>
        <v>2.8623567599047628</v>
      </c>
      <c r="D20" s="34">
        <f>IS!D3/BS!D3</f>
        <v>2.0643641136261066</v>
      </c>
      <c r="E20" s="34">
        <f>IS!E3/BS!E3</f>
        <v>1.7823171843523375</v>
      </c>
      <c r="F20" s="34">
        <f>IS!F3/BS!F3</f>
        <v>2.0095962938451351</v>
      </c>
      <c r="G20" s="34">
        <f>IS!G3/BS!G3</f>
        <v>2.3731476740955753</v>
      </c>
    </row>
    <row r="21" spans="2:7" x14ac:dyDescent="0.25">
      <c r="B21" t="s">
        <v>141</v>
      </c>
      <c r="C21" s="30">
        <f>IS!C6/AVERAGE(BS!B26:C26)</f>
        <v>36.69747663349667</v>
      </c>
      <c r="D21" s="30">
        <f>IS!D6/AVERAGE(BS!C26:D26)</f>
        <v>47.066932821839593</v>
      </c>
      <c r="E21" s="30">
        <f>IS!E6/AVERAGE(BS!D26:E26)</f>
        <v>40.638763123035254</v>
      </c>
      <c r="F21" s="30">
        <f>IS!F6/AVERAGE(BS!E26:F26)</f>
        <v>45.226953817686514</v>
      </c>
      <c r="G21" s="30">
        <f>IS!G6/AVERAGE(BS!F26:G26)</f>
        <v>54.18350099405059</v>
      </c>
    </row>
    <row r="22" spans="2:7" x14ac:dyDescent="0.25">
      <c r="B22" t="s">
        <v>142</v>
      </c>
      <c r="C22" s="30">
        <f>IS!C6/AVERAGE(BS!B5:C5)</f>
        <v>10.568389643489882</v>
      </c>
      <c r="D22" s="30">
        <f>IS!D6/AVERAGE(BS!C5:D5)</f>
        <v>11.86874762728308</v>
      </c>
      <c r="E22" s="30">
        <f>IS!E6/AVERAGE(BS!D5:E5)</f>
        <v>9.7980208214163138</v>
      </c>
      <c r="F22" s="30">
        <f>IS!F6/AVERAGE(BS!E5:F5)</f>
        <v>10.578123559890519</v>
      </c>
      <c r="G22" s="30">
        <f>IS!G6/AVERAGE(BS!F5:G5)</f>
        <v>12.156063840805594</v>
      </c>
    </row>
    <row r="23" spans="2:7" x14ac:dyDescent="0.25">
      <c r="B23" t="s">
        <v>143</v>
      </c>
      <c r="C23" s="30">
        <f>IS!C3/AVERAGE(BS!B7:C7)</f>
        <v>311.52508932732638</v>
      </c>
      <c r="D23" s="30">
        <f>IS!D3/AVERAGE(BS!C7:D7)</f>
        <v>594.14180171592</v>
      </c>
      <c r="E23" s="30">
        <f>IS!E3/AVERAGE(BS!D7:E7)</f>
        <v>771.08411214953276</v>
      </c>
      <c r="F23" s="30">
        <f>IS!F3/AVERAGE(BS!E7:F7)</f>
        <v>562.93581967955106</v>
      </c>
      <c r="G23" s="30">
        <f>IS!G3/AVERAGE(BS!F7:G7)</f>
        <v>665.92638512204553</v>
      </c>
    </row>
    <row r="24" spans="2:7" x14ac:dyDescent="0.25">
      <c r="C24" s="30"/>
      <c r="D24" s="30"/>
      <c r="E24" s="30"/>
      <c r="F24" s="30"/>
      <c r="G24" s="30"/>
    </row>
    <row r="25" spans="2:7" x14ac:dyDescent="0.25">
      <c r="B25" t="s">
        <v>137</v>
      </c>
      <c r="C25" s="30">
        <f>365/C21</f>
        <v>9.9461879530658468</v>
      </c>
      <c r="D25" s="30">
        <f t="shared" ref="D25:G25" si="0">365/D21</f>
        <v>7.7549136541702977</v>
      </c>
      <c r="E25" s="30">
        <f t="shared" si="0"/>
        <v>8.9815725664422885</v>
      </c>
      <c r="F25" s="30">
        <f t="shared" si="0"/>
        <v>8.0704086654021481</v>
      </c>
      <c r="G25" s="30">
        <f t="shared" si="0"/>
        <v>6.7363679589489323</v>
      </c>
    </row>
    <row r="26" spans="2:7" x14ac:dyDescent="0.25">
      <c r="B26" t="s">
        <v>138</v>
      </c>
      <c r="C26" s="30">
        <f>365/C22</f>
        <v>34.536955232800267</v>
      </c>
      <c r="D26" s="30">
        <f t="shared" ref="D26:G27" si="1">365/D22</f>
        <v>30.753034057356018</v>
      </c>
      <c r="E26" s="30">
        <f t="shared" si="1"/>
        <v>37.252421346379514</v>
      </c>
      <c r="F26" s="30">
        <f t="shared" si="1"/>
        <v>34.505174564606584</v>
      </c>
      <c r="G26" s="30">
        <f t="shared" si="1"/>
        <v>30.026166757595039</v>
      </c>
    </row>
    <row r="27" spans="2:7" x14ac:dyDescent="0.25">
      <c r="B27" t="s">
        <v>139</v>
      </c>
      <c r="C27" s="30">
        <f>365/C23</f>
        <v>1.1716552294010782</v>
      </c>
      <c r="D27" s="30">
        <f t="shared" si="1"/>
        <v>0.61433145916657672</v>
      </c>
      <c r="E27" s="30">
        <f t="shared" si="1"/>
        <v>0.47335951324752135</v>
      </c>
      <c r="F27" s="30">
        <f t="shared" si="1"/>
        <v>0.648386525142022</v>
      </c>
      <c r="G27" s="30">
        <f t="shared" si="1"/>
        <v>0.54810863205713911</v>
      </c>
    </row>
    <row r="28" spans="2:7" x14ac:dyDescent="0.25">
      <c r="B28" t="s">
        <v>140</v>
      </c>
      <c r="C28" s="30">
        <f>C27+C26-C25</f>
        <v>25.762422509135497</v>
      </c>
      <c r="D28" s="30">
        <f t="shared" ref="D28:G28" si="2">D27+D26-D25</f>
        <v>23.612451862352298</v>
      </c>
      <c r="E28" s="30">
        <f t="shared" si="2"/>
        <v>28.744208293184748</v>
      </c>
      <c r="F28" s="30">
        <f t="shared" si="2"/>
        <v>27.083152424346459</v>
      </c>
      <c r="G28" s="30">
        <f t="shared" si="2"/>
        <v>23.837907430703247</v>
      </c>
    </row>
    <row r="29" spans="2:7" x14ac:dyDescent="0.25">
      <c r="C29" s="30"/>
      <c r="D29" s="30"/>
      <c r="E29" s="30"/>
      <c r="F29" s="30"/>
      <c r="G29" s="30"/>
    </row>
    <row r="30" spans="2:7" x14ac:dyDescent="0.25">
      <c r="E30" t="s">
        <v>148</v>
      </c>
    </row>
    <row r="31" spans="2:7" x14ac:dyDescent="0.25">
      <c r="B31" t="s">
        <v>145</v>
      </c>
      <c r="C31" s="30">
        <f>AVERAGE(C25:G25)</f>
        <v>8.2978901596059025</v>
      </c>
      <c r="E31" s="31">
        <f>365/C31</f>
        <v>43.987085027567439</v>
      </c>
    </row>
    <row r="32" spans="2:7" x14ac:dyDescent="0.25">
      <c r="B32" t="s">
        <v>146</v>
      </c>
      <c r="C32" s="30">
        <f>AVERAGE(C26:G26)</f>
        <v>33.414750391747489</v>
      </c>
      <c r="E32" s="31">
        <f t="shared" ref="E32:E33" si="3">365/C32</f>
        <v>10.923319663346783</v>
      </c>
    </row>
    <row r="33" spans="2:5" x14ac:dyDescent="0.25">
      <c r="B33" t="s">
        <v>147</v>
      </c>
      <c r="C33" s="30">
        <f>AVERAGE(C27:G27)</f>
        <v>0.69116827180286755</v>
      </c>
      <c r="E33" s="31">
        <f t="shared" si="3"/>
        <v>528.09137064107586</v>
      </c>
    </row>
  </sheetData>
  <hyperlinks>
    <hyperlink ref="I2" location="DASHBOARD!A1" display="DASHBOARD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P2"/>
  <sheetViews>
    <sheetView showGridLines="0" zoomScale="86" zoomScaleNormal="86" workbookViewId="0">
      <selection activeCell="P2" sqref="P2"/>
    </sheetView>
  </sheetViews>
  <sheetFormatPr defaultRowHeight="15" x14ac:dyDescent="0.25"/>
  <sheetData>
    <row r="2" spans="16:16" x14ac:dyDescent="0.25">
      <c r="P2" s="185" t="s">
        <v>432</v>
      </c>
    </row>
  </sheetData>
  <hyperlinks>
    <hyperlink ref="P2" location="DASHBOARD!A1" display="DASHBOARD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DASHBOARD</vt:lpstr>
      <vt:lpstr>Assumptions</vt:lpstr>
      <vt:lpstr>Sales</vt:lpstr>
      <vt:lpstr>IS</vt:lpstr>
      <vt:lpstr>BS</vt:lpstr>
      <vt:lpstr>CF</vt:lpstr>
      <vt:lpstr>DCF</vt:lpstr>
      <vt:lpstr>Residual income</vt:lpstr>
      <vt:lpstr>Relative valuation</vt:lpstr>
      <vt:lpstr>WACC</vt:lpstr>
      <vt:lpstr>Ratio Analysis</vt:lpstr>
      <vt:lpstr>Charts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</dc:creator>
  <cp:lastModifiedBy>SURAJ</cp:lastModifiedBy>
  <cp:lastPrinted>2024-02-21T15:22:03Z</cp:lastPrinted>
  <dcterms:created xsi:type="dcterms:W3CDTF">2024-02-11T05:24:24Z</dcterms:created>
  <dcterms:modified xsi:type="dcterms:W3CDTF">2024-02-21T15:22:47Z</dcterms:modified>
</cp:coreProperties>
</file>